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1D9F434-274A-46BC-BD48-C37A7D68148F}" xr6:coauthVersionLast="47" xr6:coauthVersionMax="47" xr10:uidLastSave="{00000000-0000-0000-0000-000000000000}"/>
  <bookViews>
    <workbookView xWindow="-120" yWindow="-120" windowWidth="20730" windowHeight="11040" xr2:uid="{E80C3EAF-7573-47ED-B6CF-B5EA880E443C}"/>
  </bookViews>
  <sheets>
    <sheet name="hr_employee_attrition_dataset" sheetId="1" r:id="rId1"/>
    <sheet name="Sheet1" sheetId="2" r:id="rId2"/>
  </sheets>
  <definedNames>
    <definedName name="_xlnm._FilterDatabase" localSheetId="0" hidden="1">hr_employee_attrition_dataset!$H$1:$H$501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S5" i="1" l="1"/>
  <c r="N9" i="1"/>
  <c r="N8" i="1"/>
  <c r="M9" i="1"/>
  <c r="M8" i="1"/>
  <c r="R7" i="1"/>
  <c r="R6" i="1"/>
  <c r="R5" i="1"/>
  <c r="R4" i="1"/>
  <c r="R3" i="1"/>
  <c r="R2" i="1"/>
  <c r="N2" i="1"/>
  <c r="Q7" i="1"/>
  <c r="Q6" i="1"/>
  <c r="Q5" i="1"/>
  <c r="Q4" i="1"/>
  <c r="Q3" i="1"/>
  <c r="Q2" i="1"/>
  <c r="M2" i="1"/>
  <c r="N7" i="1"/>
  <c r="O7" i="1" s="1"/>
  <c r="N5" i="1"/>
  <c r="N6" i="1"/>
  <c r="N4" i="1"/>
  <c r="N3" i="1"/>
  <c r="M7" i="1"/>
  <c r="M6" i="1"/>
  <c r="M5" i="1"/>
  <c r="M4" i="1"/>
  <c r="M3" i="1"/>
  <c r="S4" i="1" l="1"/>
  <c r="S6" i="1"/>
  <c r="S7" i="1"/>
  <c r="S2" i="1"/>
  <c r="O8" i="1"/>
  <c r="S3" i="1"/>
  <c r="O9" i="1"/>
  <c r="O3" i="1"/>
  <c r="O4" i="1"/>
  <c r="O6" i="1"/>
  <c r="O5" i="1"/>
  <c r="O2" i="1"/>
</calcChain>
</file>

<file path=xl/sharedStrings.xml><?xml version="1.0" encoding="utf-8"?>
<sst xmlns="http://schemas.openxmlformats.org/spreadsheetml/2006/main" count="3066" uniqueCount="43">
  <si>
    <t>Employee_ID</t>
  </si>
  <si>
    <t>Age</t>
  </si>
  <si>
    <t>Gender</t>
  </si>
  <si>
    <t>Department</t>
  </si>
  <si>
    <t>JobRole</t>
  </si>
  <si>
    <t>MonthlyIncome</t>
  </si>
  <si>
    <t>YearsAtCompany</t>
  </si>
  <si>
    <t>JobSatisfaction</t>
  </si>
  <si>
    <t>Attrition</t>
  </si>
  <si>
    <t>OverTime</t>
  </si>
  <si>
    <t>EducationField</t>
  </si>
  <si>
    <t>Male</t>
  </si>
  <si>
    <t>Operations</t>
  </si>
  <si>
    <t>Manager</t>
  </si>
  <si>
    <t>Yes</t>
  </si>
  <si>
    <t>No</t>
  </si>
  <si>
    <t>HR</t>
  </si>
  <si>
    <t>Marketing</t>
  </si>
  <si>
    <t>Executive</t>
  </si>
  <si>
    <t>Technical</t>
  </si>
  <si>
    <t>Engineer</t>
  </si>
  <si>
    <t>Female</t>
  </si>
  <si>
    <t>Sales</t>
  </si>
  <si>
    <t>Analyst</t>
  </si>
  <si>
    <t>Clerk</t>
  </si>
  <si>
    <t>IT</t>
  </si>
  <si>
    <t>Life Sciences</t>
  </si>
  <si>
    <t>Consultant</t>
  </si>
  <si>
    <t>Finance</t>
  </si>
  <si>
    <t>Total</t>
  </si>
  <si>
    <t>TotalAttrition</t>
  </si>
  <si>
    <t>Job Role</t>
  </si>
  <si>
    <t>Total Overtime</t>
  </si>
  <si>
    <t>JobAttrition</t>
  </si>
  <si>
    <t>Jobpercentge</t>
  </si>
  <si>
    <t>Percentge</t>
  </si>
  <si>
    <t>Grand Total</t>
  </si>
  <si>
    <t>Sum of Percentge</t>
  </si>
  <si>
    <t>Sum of Jobpercentge</t>
  </si>
  <si>
    <t>Job rola</t>
  </si>
  <si>
    <t>Row Labels</t>
  </si>
  <si>
    <t>Sum of JobSatisfaction</t>
  </si>
  <si>
    <t>Max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</si>
</sst>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[hr_employee_attrition_dataset.xlsx]Sheet1!PivotTable2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0.20652173913043478</c:v>
                </c:pt>
                <c:pt idx="1">
                  <c:v>0.27500000000000002</c:v>
                </c:pt>
                <c:pt idx="2">
                  <c:v>0.3707865168539326</c:v>
                </c:pt>
                <c:pt idx="3">
                  <c:v>0.30107526881720431</c:v>
                </c:pt>
                <c:pt idx="4">
                  <c:v>0.25</c:v>
                </c:pt>
                <c:pt idx="5">
                  <c:v>0.24285714285714285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2-4A31-8250-643287914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3904824"/>
        <c:axId val="653904104"/>
      </c:barChart>
      <c:catAx>
        <c:axId val="65390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04104"/>
        <c:crosses val="autoZero"/>
        <c:auto val="1"/>
        <c:lblAlgn val="ctr"/>
        <c:lblOffset val="100"/>
        <c:noMultiLvlLbl val="0"/>
      </c:catAx>
      <c:valAx>
        <c:axId val="65390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0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[hr_employee_attrition_dataset.xlsx]Sheet1!PivotTable2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7D-4D53-88F4-8385748473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7D-4D53-88F4-8385748473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7D-4D53-88F4-8385748473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7D-4D53-88F4-8385748473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7D-4D53-88F4-8385748473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67D-4D53-88F4-8385748473F0}"/>
              </c:ext>
            </c:extLst>
          </c:dPt>
          <c:cat>
            <c:strRef>
              <c:f>Sheet1!$A$4:$A$10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0.20652173913043478</c:v>
                </c:pt>
                <c:pt idx="1">
                  <c:v>0.27500000000000002</c:v>
                </c:pt>
                <c:pt idx="2">
                  <c:v>0.3707865168539326</c:v>
                </c:pt>
                <c:pt idx="3">
                  <c:v>0.30107526881720431</c:v>
                </c:pt>
                <c:pt idx="4">
                  <c:v>0.25</c:v>
                </c:pt>
                <c:pt idx="5">
                  <c:v>0.24285714285714285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E-4998-AED2-649B8E81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44827448293151"/>
          <c:y val="0.11363453415863364"/>
          <c:w val="0.30476180318733387"/>
          <c:h val="0.67523626301315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[hr_employee_attrition_dataset.xlsx]Sheet1!PivotTable4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Sheet1!$B$13:$B$15</c:f>
              <c:numCache>
                <c:formatCode>General</c:formatCode>
                <c:ptCount val="2"/>
                <c:pt idx="0">
                  <c:v>0.27459016393442626</c:v>
                </c:pt>
                <c:pt idx="1">
                  <c:v>0.27734375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F-4C46-9DF0-8B8ABCC59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915624"/>
        <c:axId val="653917064"/>
      </c:barChart>
      <c:catAx>
        <c:axId val="653915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17064"/>
        <c:crosses val="autoZero"/>
        <c:auto val="1"/>
        <c:lblAlgn val="ctr"/>
        <c:lblOffset val="100"/>
        <c:noMultiLvlLbl val="0"/>
      </c:catAx>
      <c:valAx>
        <c:axId val="65391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1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[hr_employee_attrition_dataset.xlsx]Sheet1!PivotTable4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0526849037487334"/>
          <c:y val="0.26026117987600289"/>
          <c:w val="0.59473150962512666"/>
          <c:h val="0.57812269805928507"/>
        </c:manualLayout>
      </c:layout>
      <c:pie3DChart>
        <c:varyColors val="1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5F-4FFC-A6AD-DE47D8F78A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5F-4FFC-A6AD-DE47D8F78A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Sheet1!$A$13:$A$15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Sheet1!$B$13:$B$15</c:f>
              <c:numCache>
                <c:formatCode>General</c:formatCode>
                <c:ptCount val="2"/>
                <c:pt idx="0">
                  <c:v>0.27459016393442626</c:v>
                </c:pt>
                <c:pt idx="1">
                  <c:v>0.27734375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3-4C5C-A52B-FDDEF5BC99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064188784912529"/>
          <c:y val="0.40969606739407688"/>
          <c:w val="0.17896998962445518"/>
          <c:h val="0.249439100328882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[hr_employee_attrition_dataset.xlsx]Sheet1!PivotTable5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Sheet1!$A$18:$A$24</c:f>
              <c:strCache>
                <c:ptCount val="6"/>
                <c:pt idx="0">
                  <c:v>Analyst</c:v>
                </c:pt>
                <c:pt idx="1">
                  <c:v>Clerk</c:v>
                </c:pt>
                <c:pt idx="2">
                  <c:v>Consultant</c:v>
                </c:pt>
                <c:pt idx="3">
                  <c:v>Engineer</c:v>
                </c:pt>
                <c:pt idx="4">
                  <c:v>Executive</c:v>
                </c:pt>
                <c:pt idx="5">
                  <c:v>Manager</c:v>
                </c:pt>
              </c:strCache>
            </c:strRef>
          </c:cat>
          <c:val>
            <c:numRef>
              <c:f>Sheet1!$B$18:$B$24</c:f>
              <c:numCache>
                <c:formatCode>General</c:formatCode>
                <c:ptCount val="6"/>
                <c:pt idx="0">
                  <c:v>0.5</c:v>
                </c:pt>
                <c:pt idx="1">
                  <c:v>0.43333333333333335</c:v>
                </c:pt>
                <c:pt idx="2">
                  <c:v>0.42857142857142855</c:v>
                </c:pt>
                <c:pt idx="3">
                  <c:v>0.47499999999999998</c:v>
                </c:pt>
                <c:pt idx="4">
                  <c:v>0.53086419753086422</c:v>
                </c:pt>
                <c:pt idx="5">
                  <c:v>0.54022988505747127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C-47E9-B16F-DAB929672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138176"/>
        <c:axId val="653140696"/>
      </c:barChart>
      <c:catAx>
        <c:axId val="65313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40696"/>
        <c:crosses val="autoZero"/>
        <c:auto val="1"/>
        <c:lblAlgn val="ctr"/>
        <c:lblOffset val="100"/>
        <c:noMultiLvlLbl val="0"/>
      </c:catAx>
      <c:valAx>
        <c:axId val="65314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3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[hr_employee_attrition_dataset.xlsx]Sheet1!PivotTable5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74-4ABE-B9AE-F622868F4A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74-4ABE-B9AE-F622868F4A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74-4ABE-B9AE-F622868F4A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74-4ABE-B9AE-F622868F4A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74-4ABE-B9AE-F622868F4A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474-4ABE-B9AE-F622868F4AAB}"/>
              </c:ext>
            </c:extLst>
          </c:dPt>
          <c:cat>
            <c:strRef>
              <c:f>Sheet1!$A$18:$A$24</c:f>
              <c:strCache>
                <c:ptCount val="6"/>
                <c:pt idx="0">
                  <c:v>Analyst</c:v>
                </c:pt>
                <c:pt idx="1">
                  <c:v>Clerk</c:v>
                </c:pt>
                <c:pt idx="2">
                  <c:v>Consultant</c:v>
                </c:pt>
                <c:pt idx="3">
                  <c:v>Engineer</c:v>
                </c:pt>
                <c:pt idx="4">
                  <c:v>Executive</c:v>
                </c:pt>
                <c:pt idx="5">
                  <c:v>Manager</c:v>
                </c:pt>
              </c:strCache>
            </c:strRef>
          </c:cat>
          <c:val>
            <c:numRef>
              <c:f>Sheet1!$B$18:$B$24</c:f>
              <c:numCache>
                <c:formatCode>General</c:formatCode>
                <c:ptCount val="6"/>
                <c:pt idx="0">
                  <c:v>0.5</c:v>
                </c:pt>
                <c:pt idx="1">
                  <c:v>0.43333333333333335</c:v>
                </c:pt>
                <c:pt idx="2">
                  <c:v>0.42857142857142855</c:v>
                </c:pt>
                <c:pt idx="3">
                  <c:v>0.47499999999999998</c:v>
                </c:pt>
                <c:pt idx="4">
                  <c:v>0.53086419753086422</c:v>
                </c:pt>
                <c:pt idx="5">
                  <c:v>0.54022988505747127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A-43C2-AFC8-AB2A454FD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43048812189215"/>
          <c:y val="0.10971247730968636"/>
          <c:w val="0.24301040644679797"/>
          <c:h val="0.84782655295283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[hr_employee_attrition_dataset.xlsx]Sheet1!PivotTable1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A2-43A1-816B-BC445F545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A2-43A1-816B-BC445F5451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A2-43A1-816B-BC445F5451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A2-43A1-816B-BC445F5451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1A2-43A1-816B-BC445F5451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1A2-43A1-816B-BC445F5451F6}"/>
              </c:ext>
            </c:extLst>
          </c:dPt>
          <c:cat>
            <c:strRef>
              <c:f>Sheet1!$A$39:$A$45</c:f>
              <c:strCache>
                <c:ptCount val="6"/>
                <c:pt idx="0">
                  <c:v>Analyst</c:v>
                </c:pt>
                <c:pt idx="1">
                  <c:v>Clerk</c:v>
                </c:pt>
                <c:pt idx="2">
                  <c:v>Consultant</c:v>
                </c:pt>
                <c:pt idx="3">
                  <c:v>Engineer</c:v>
                </c:pt>
                <c:pt idx="4">
                  <c:v>Executive</c:v>
                </c:pt>
                <c:pt idx="5">
                  <c:v>Manager</c:v>
                </c:pt>
              </c:strCache>
            </c:strRef>
          </c:cat>
          <c:val>
            <c:numRef>
              <c:f>Sheet1!$B$39:$B$45</c:f>
              <c:numCache>
                <c:formatCode>General</c:formatCode>
                <c:ptCount val="6"/>
                <c:pt idx="0">
                  <c:v>193</c:v>
                </c:pt>
                <c:pt idx="1">
                  <c:v>221</c:v>
                </c:pt>
                <c:pt idx="2">
                  <c:v>211</c:v>
                </c:pt>
                <c:pt idx="3">
                  <c:v>205</c:v>
                </c:pt>
                <c:pt idx="4">
                  <c:v>201</c:v>
                </c:pt>
                <c:pt idx="5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F-4993-BECC-ED3FFA993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41527682576081"/>
          <c:y val="6.2808567688064892E-2"/>
          <c:w val="0.22583235378187907"/>
          <c:h val="0.8507830319826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119062</xdr:rowOff>
    </xdr:from>
    <xdr:to>
      <xdr:col>10</xdr:col>
      <xdr:colOff>304800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4836-AB20-A49A-199C-13C390E67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447674</xdr:colOff>
      <xdr:row>0</xdr:row>
      <xdr:rowOff>138113</xdr:rowOff>
    </xdr:from>
    <xdr:to>
      <xdr:col>15</xdr:col>
      <xdr:colOff>400050</xdr:colOff>
      <xdr:row>12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0FD78-AEA4-E174-4FC8-ACE6EE4B4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12</xdr:row>
      <xdr:rowOff>85725</xdr:rowOff>
    </xdr:from>
    <xdr:to>
      <xdr:col>10</xdr:col>
      <xdr:colOff>152400</xdr:colOff>
      <xdr:row>21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C46878-41A2-B94D-F0BD-89ECD9B28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466725</xdr:colOff>
      <xdr:row>12</xdr:row>
      <xdr:rowOff>109537</xdr:rowOff>
    </xdr:from>
    <xdr:to>
      <xdr:col>15</xdr:col>
      <xdr:colOff>552450</xdr:colOff>
      <xdr:row>21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B03DCB-B8BE-25E1-F226-C13F2B6E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66675</xdr:colOff>
      <xdr:row>22</xdr:row>
      <xdr:rowOff>138112</xdr:rowOff>
    </xdr:from>
    <xdr:to>
      <xdr:col>9</xdr:col>
      <xdr:colOff>66675</xdr:colOff>
      <xdr:row>35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E13658-C562-FFEC-01F1-362FAF81A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466725</xdr:colOff>
      <xdr:row>22</xdr:row>
      <xdr:rowOff>61912</xdr:rowOff>
    </xdr:from>
    <xdr:to>
      <xdr:col>14</xdr:col>
      <xdr:colOff>400050</xdr:colOff>
      <xdr:row>33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5E07A8-7E5A-772D-B8EE-4FE9E6FC5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34452</xdr:colOff>
      <xdr:row>38</xdr:row>
      <xdr:rowOff>128081</xdr:rowOff>
    </xdr:from>
    <xdr:to>
      <xdr:col>8</xdr:col>
      <xdr:colOff>202660</xdr:colOff>
      <xdr:row>50</xdr:row>
      <xdr:rowOff>40532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9802C6-399B-DF0D-1C65-7737B7AB9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8.980261111108" createdVersion="8" refreshedVersion="8" minRefreshableVersion="3" recordCount="500" xr:uid="{68A4C31D-E7DC-41EE-B5EC-4E5014DB0169}">
  <cacheSource type="worksheet">
    <worksheetSource ref="A1:S501" sheet="hr_employee_attrition_dataset"/>
  </cacheSource>
  <cacheFields count="19">
    <cacheField name="Employee_ID" numFmtId="0">
      <sharedItems containsSemiMixedTypes="0" containsString="0" containsNumber="1" containsInteger="1" minValue="1" maxValue="500"/>
    </cacheField>
    <cacheField name="Age" numFmtId="0">
      <sharedItems containsSemiMixedTypes="0" containsString="0" containsNumber="1" containsInteger="1" minValue="22" maxValue="60" count="39">
        <n v="29"/>
        <n v="49"/>
        <n v="50"/>
        <n v="31"/>
        <n v="38"/>
        <n v="45"/>
        <n v="46"/>
        <n v="60"/>
        <n v="25"/>
        <n v="53"/>
        <n v="39"/>
        <n v="33"/>
        <n v="55"/>
        <n v="37"/>
        <n v="57"/>
        <n v="36"/>
        <n v="28"/>
        <n v="56"/>
        <n v="32"/>
        <n v="34"/>
        <n v="59"/>
        <n v="47"/>
        <n v="58"/>
        <n v="41"/>
        <n v="54"/>
        <n v="30"/>
        <n v="44"/>
        <n v="42"/>
        <n v="43"/>
        <n v="51"/>
        <n v="23"/>
        <n v="35"/>
        <n v="24"/>
        <n v="48"/>
        <n v="22"/>
        <n v="52"/>
        <n v="26"/>
        <n v="40"/>
        <n v="27"/>
      </sharedItems>
    </cacheField>
    <cacheField name="Gender" numFmtId="0">
      <sharedItems/>
    </cacheField>
    <cacheField name="Department" numFmtId="0">
      <sharedItems count="6">
        <s v="Operations"/>
        <s v="Marketing"/>
        <s v="Sales"/>
        <s v="IT"/>
        <s v="HR"/>
        <s v="Finance"/>
      </sharedItems>
    </cacheField>
    <cacheField name="JobRole" numFmtId="0">
      <sharedItems count="6">
        <s v="Manager"/>
        <s v="Executive"/>
        <s v="Engineer"/>
        <s v="Analyst"/>
        <s v="Clerk"/>
        <s v="Consultant"/>
      </sharedItems>
    </cacheField>
    <cacheField name="MonthlyIncome" numFmtId="0">
      <sharedItems containsSemiMixedTypes="0" containsString="0" containsNumber="1" containsInteger="1" minValue="15037" maxValue="119771"/>
    </cacheField>
    <cacheField name="YearsAtCompany" numFmtId="0">
      <sharedItems containsSemiMixedTypes="0" containsString="0" containsNumber="1" containsInteger="1" minValue="0" maxValue="20"/>
    </cacheField>
    <cacheField name="JobSatisfaction" numFmtId="0">
      <sharedItems containsSemiMixedTypes="0" containsString="0" containsNumber="1" containsInteger="1" minValue="1" maxValue="4"/>
    </cacheField>
    <cacheField name="Attrition" numFmtId="0">
      <sharedItems/>
    </cacheField>
    <cacheField name="OverTime" numFmtId="0">
      <sharedItems/>
    </cacheField>
    <cacheField name="EducationField" numFmtId="0">
      <sharedItems/>
    </cacheField>
    <cacheField name="Department2" numFmtId="0">
      <sharedItems containsBlank="1" count="9">
        <s v="Operations"/>
        <s v="Marketing"/>
        <s v="Sales"/>
        <s v="IT"/>
        <s v="HR"/>
        <s v="Finance"/>
        <s v="Male"/>
        <s v="Female"/>
        <m/>
      </sharedItems>
    </cacheField>
    <cacheField name="Total" numFmtId="0">
      <sharedItems containsString="0" containsBlank="1" containsNumber="1" containsInteger="1" minValue="70" maxValue="256"/>
    </cacheField>
    <cacheField name="TotalAttrition" numFmtId="0">
      <sharedItems containsString="0" containsBlank="1" containsNumber="1" containsInteger="1" minValue="17" maxValue="71"/>
    </cacheField>
    <cacheField name="Percentge" numFmtId="0">
      <sharedItems containsString="0" containsBlank="1" containsNumber="1" minValue="0.20652173913043478" maxValue="0.3707865168539326"/>
    </cacheField>
    <cacheField name="Job Role" numFmtId="0">
      <sharedItems containsBlank="1" count="7">
        <s v="Manager"/>
        <s v="Executive"/>
        <s v="Engineer"/>
        <s v="Analyst"/>
        <s v="Clerk"/>
        <s v="Consultant"/>
        <m/>
      </sharedItems>
    </cacheField>
    <cacheField name="Total Overtime" numFmtId="0">
      <sharedItems containsString="0" containsBlank="1" containsNumber="1" containsInteger="1" minValue="78" maxValue="90"/>
    </cacheField>
    <cacheField name="JobAttrition" numFmtId="0">
      <sharedItems containsString="0" containsBlank="1" containsNumber="1" containsInteger="1" minValue="36" maxValue="47"/>
    </cacheField>
    <cacheField name="Jobpercentge" numFmtId="0">
      <sharedItems containsString="0" containsBlank="1" containsNumber="1" minValue="0.42857142857142855" maxValue="0.540229885057471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s v="Male"/>
    <x v="0"/>
    <x v="0"/>
    <n v="112196"/>
    <n v="0"/>
    <n v="1"/>
    <s v="Yes"/>
    <s v="No"/>
    <s v="HR"/>
    <x v="0"/>
    <n v="76"/>
    <n v="19"/>
    <n v="0.25"/>
    <x v="0"/>
    <n v="87"/>
    <n v="47"/>
    <n v="0.54022988505747127"/>
  </r>
  <r>
    <n v="2"/>
    <x v="1"/>
    <s v="Male"/>
    <x v="1"/>
    <x v="1"/>
    <n v="18905"/>
    <n v="1"/>
    <n v="4"/>
    <s v="Yes"/>
    <s v="Yes"/>
    <s v="Technical"/>
    <x v="1"/>
    <n v="93"/>
    <n v="28"/>
    <n v="0.30107526881720431"/>
    <x v="1"/>
    <n v="81"/>
    <n v="43"/>
    <n v="0.53086419753086422"/>
  </r>
  <r>
    <n v="3"/>
    <x v="2"/>
    <s v="Male"/>
    <x v="0"/>
    <x v="2"/>
    <n v="51463"/>
    <n v="18"/>
    <n v="3"/>
    <s v="No"/>
    <s v="Yes"/>
    <s v="Marketing"/>
    <x v="2"/>
    <n v="70"/>
    <n v="17"/>
    <n v="0.24285714285714285"/>
    <x v="2"/>
    <n v="80"/>
    <n v="38"/>
    <n v="0.47499999999999998"/>
  </r>
  <r>
    <n v="4"/>
    <x v="3"/>
    <s v="Female"/>
    <x v="2"/>
    <x v="3"/>
    <n v="115072"/>
    <n v="6"/>
    <n v="3"/>
    <s v="Yes"/>
    <s v="No"/>
    <s v="HR"/>
    <x v="3"/>
    <n v="89"/>
    <n v="33"/>
    <n v="0.3707865168539326"/>
    <x v="3"/>
    <n v="78"/>
    <n v="39"/>
    <n v="0.5"/>
  </r>
  <r>
    <n v="5"/>
    <x v="4"/>
    <s v="Female"/>
    <x v="2"/>
    <x v="4"/>
    <n v="110647"/>
    <n v="1"/>
    <n v="3"/>
    <s v="No"/>
    <s v="No"/>
    <s v="HR"/>
    <x v="4"/>
    <n v="80"/>
    <n v="22"/>
    <n v="0.27500000000000002"/>
    <x v="4"/>
    <n v="90"/>
    <n v="39"/>
    <n v="0.43333333333333335"/>
  </r>
  <r>
    <n v="6"/>
    <x v="5"/>
    <s v="Male"/>
    <x v="3"/>
    <x v="0"/>
    <n v="40203"/>
    <n v="18"/>
    <n v="2"/>
    <s v="Yes"/>
    <s v="Yes"/>
    <s v="Life Sciences"/>
    <x v="5"/>
    <n v="92"/>
    <n v="19"/>
    <n v="0.20652173913043478"/>
    <x v="5"/>
    <n v="84"/>
    <n v="36"/>
    <n v="0.42857142857142855"/>
  </r>
  <r>
    <n v="7"/>
    <x v="6"/>
    <s v="Female"/>
    <x v="4"/>
    <x v="5"/>
    <n v="74429"/>
    <n v="8"/>
    <n v="3"/>
    <s v="Yes"/>
    <s v="No"/>
    <s v="Life Sciences"/>
    <x v="6"/>
    <n v="256"/>
    <n v="71"/>
    <n v="0.27734375"/>
    <x v="6"/>
    <m/>
    <m/>
    <m/>
  </r>
  <r>
    <n v="8"/>
    <x v="7"/>
    <s v="Female"/>
    <x v="3"/>
    <x v="5"/>
    <n v="37431"/>
    <n v="20"/>
    <n v="2"/>
    <s v="Yes"/>
    <s v="Yes"/>
    <s v="Marketing"/>
    <x v="7"/>
    <n v="244"/>
    <n v="67"/>
    <n v="0.27459016393442626"/>
    <x v="6"/>
    <m/>
    <m/>
    <m/>
  </r>
  <r>
    <n v="9"/>
    <x v="8"/>
    <s v="Male"/>
    <x v="4"/>
    <x v="4"/>
    <n v="19207"/>
    <n v="7"/>
    <n v="3"/>
    <s v="No"/>
    <s v="No"/>
    <s v="Technical"/>
    <x v="8"/>
    <m/>
    <m/>
    <m/>
    <x v="6"/>
    <m/>
    <m/>
    <m/>
  </r>
  <r>
    <n v="10"/>
    <x v="9"/>
    <s v="Male"/>
    <x v="4"/>
    <x v="5"/>
    <n v="99259"/>
    <n v="12"/>
    <n v="3"/>
    <s v="Yes"/>
    <s v="No"/>
    <s v="HR"/>
    <x v="8"/>
    <m/>
    <m/>
    <m/>
    <x v="6"/>
    <m/>
    <m/>
    <m/>
  </r>
  <r>
    <n v="11"/>
    <x v="1"/>
    <s v="Male"/>
    <x v="1"/>
    <x v="2"/>
    <n v="67350"/>
    <n v="18"/>
    <n v="1"/>
    <s v="Yes"/>
    <s v="No"/>
    <s v="Life Sciences"/>
    <x v="8"/>
    <m/>
    <m/>
    <m/>
    <x v="6"/>
    <m/>
    <m/>
    <m/>
  </r>
  <r>
    <n v="12"/>
    <x v="0"/>
    <s v="Female"/>
    <x v="1"/>
    <x v="0"/>
    <n v="97240"/>
    <n v="4"/>
    <n v="4"/>
    <s v="No"/>
    <s v="Yes"/>
    <s v="Finance"/>
    <x v="8"/>
    <m/>
    <m/>
    <m/>
    <x v="6"/>
    <m/>
    <m/>
    <m/>
  </r>
  <r>
    <n v="13"/>
    <x v="7"/>
    <s v="Male"/>
    <x v="0"/>
    <x v="5"/>
    <n v="84352"/>
    <n v="14"/>
    <n v="1"/>
    <s v="No"/>
    <s v="No"/>
    <s v="HR"/>
    <x v="8"/>
    <m/>
    <m/>
    <m/>
    <x v="6"/>
    <m/>
    <m/>
    <m/>
  </r>
  <r>
    <n v="14"/>
    <x v="10"/>
    <s v="Male"/>
    <x v="5"/>
    <x v="0"/>
    <n v="59587"/>
    <n v="20"/>
    <n v="3"/>
    <s v="No"/>
    <s v="Yes"/>
    <s v="HR"/>
    <x v="8"/>
    <m/>
    <m/>
    <m/>
    <x v="6"/>
    <m/>
    <m/>
    <m/>
  </r>
  <r>
    <n v="15"/>
    <x v="11"/>
    <s v="Male"/>
    <x v="4"/>
    <x v="3"/>
    <n v="28947"/>
    <n v="16"/>
    <n v="2"/>
    <s v="No"/>
    <s v="No"/>
    <s v="HR"/>
    <x v="8"/>
    <m/>
    <m/>
    <m/>
    <x v="6"/>
    <m/>
    <m/>
    <m/>
  </r>
  <r>
    <n v="16"/>
    <x v="12"/>
    <s v="Male"/>
    <x v="3"/>
    <x v="3"/>
    <n v="93504"/>
    <n v="0"/>
    <n v="2"/>
    <s v="No"/>
    <s v="No"/>
    <s v="Life Sciences"/>
    <x v="8"/>
    <m/>
    <m/>
    <m/>
    <x v="6"/>
    <m/>
    <m/>
    <m/>
  </r>
  <r>
    <n v="17"/>
    <x v="13"/>
    <s v="Male"/>
    <x v="1"/>
    <x v="1"/>
    <n v="25322"/>
    <n v="18"/>
    <n v="2"/>
    <s v="No"/>
    <s v="Yes"/>
    <s v="Finance"/>
    <x v="8"/>
    <m/>
    <m/>
    <m/>
    <x v="6"/>
    <m/>
    <m/>
    <m/>
  </r>
  <r>
    <n v="18"/>
    <x v="14"/>
    <s v="Male"/>
    <x v="0"/>
    <x v="3"/>
    <n v="49741"/>
    <n v="5"/>
    <n v="4"/>
    <s v="No"/>
    <s v="No"/>
    <s v="Marketing"/>
    <x v="8"/>
    <m/>
    <m/>
    <m/>
    <x v="6"/>
    <m/>
    <m/>
    <m/>
  </r>
  <r>
    <n v="19"/>
    <x v="2"/>
    <s v="Male"/>
    <x v="3"/>
    <x v="0"/>
    <n v="74177"/>
    <n v="16"/>
    <n v="2"/>
    <s v="Yes"/>
    <s v="Yes"/>
    <s v="HR"/>
    <x v="8"/>
    <m/>
    <m/>
    <m/>
    <x v="6"/>
    <m/>
    <m/>
    <m/>
  </r>
  <r>
    <n v="20"/>
    <x v="15"/>
    <s v="Male"/>
    <x v="3"/>
    <x v="0"/>
    <n v="24305"/>
    <n v="0"/>
    <n v="2"/>
    <s v="Yes"/>
    <s v="Yes"/>
    <s v="Marketing"/>
    <x v="8"/>
    <m/>
    <m/>
    <m/>
    <x v="6"/>
    <m/>
    <m/>
    <m/>
  </r>
  <r>
    <n v="21"/>
    <x v="9"/>
    <s v="Female"/>
    <x v="4"/>
    <x v="2"/>
    <n v="85678"/>
    <n v="6"/>
    <n v="4"/>
    <s v="No"/>
    <s v="Yes"/>
    <s v="Technical"/>
    <x v="8"/>
    <m/>
    <m/>
    <m/>
    <x v="6"/>
    <m/>
    <m/>
    <m/>
  </r>
  <r>
    <n v="22"/>
    <x v="16"/>
    <s v="Female"/>
    <x v="5"/>
    <x v="5"/>
    <n v="101374"/>
    <n v="3"/>
    <n v="1"/>
    <s v="No"/>
    <s v="No"/>
    <s v="Life Sciences"/>
    <x v="8"/>
    <m/>
    <m/>
    <m/>
    <x v="6"/>
    <m/>
    <m/>
    <m/>
  </r>
  <r>
    <n v="23"/>
    <x v="8"/>
    <s v="Male"/>
    <x v="4"/>
    <x v="1"/>
    <n v="110448"/>
    <n v="12"/>
    <n v="2"/>
    <s v="No"/>
    <s v="No"/>
    <s v="HR"/>
    <x v="8"/>
    <m/>
    <m/>
    <m/>
    <x v="6"/>
    <m/>
    <m/>
    <m/>
  </r>
  <r>
    <n v="24"/>
    <x v="2"/>
    <s v="Male"/>
    <x v="2"/>
    <x v="2"/>
    <n v="70296"/>
    <n v="4"/>
    <n v="1"/>
    <s v="No"/>
    <s v="Yes"/>
    <s v="Life Sciences"/>
    <x v="8"/>
    <m/>
    <m/>
    <m/>
    <x v="6"/>
    <m/>
    <m/>
    <m/>
  </r>
  <r>
    <n v="25"/>
    <x v="17"/>
    <s v="Female"/>
    <x v="5"/>
    <x v="1"/>
    <n v="27224"/>
    <n v="0"/>
    <n v="4"/>
    <s v="Yes"/>
    <s v="Yes"/>
    <s v="Life Sciences"/>
    <x v="8"/>
    <m/>
    <m/>
    <m/>
    <x v="6"/>
    <m/>
    <m/>
    <m/>
  </r>
  <r>
    <n v="26"/>
    <x v="18"/>
    <s v="Female"/>
    <x v="3"/>
    <x v="2"/>
    <n v="15282"/>
    <n v="12"/>
    <n v="4"/>
    <s v="No"/>
    <s v="No"/>
    <s v="Technical"/>
    <x v="8"/>
    <m/>
    <m/>
    <m/>
    <x v="6"/>
    <m/>
    <m/>
    <m/>
  </r>
  <r>
    <n v="27"/>
    <x v="19"/>
    <s v="Male"/>
    <x v="0"/>
    <x v="3"/>
    <n v="43534"/>
    <n v="9"/>
    <n v="1"/>
    <s v="No"/>
    <s v="Yes"/>
    <s v="Life Sciences"/>
    <x v="8"/>
    <m/>
    <m/>
    <m/>
    <x v="6"/>
    <m/>
    <m/>
    <m/>
  </r>
  <r>
    <n v="28"/>
    <x v="20"/>
    <s v="Male"/>
    <x v="4"/>
    <x v="0"/>
    <n v="80909"/>
    <n v="15"/>
    <n v="1"/>
    <s v="Yes"/>
    <s v="Yes"/>
    <s v="Technical"/>
    <x v="8"/>
    <m/>
    <m/>
    <m/>
    <x v="6"/>
    <m/>
    <m/>
    <m/>
  </r>
  <r>
    <n v="29"/>
    <x v="21"/>
    <s v="Male"/>
    <x v="1"/>
    <x v="0"/>
    <n v="89668"/>
    <n v="3"/>
    <n v="4"/>
    <s v="No"/>
    <s v="Yes"/>
    <s v="HR"/>
    <x v="8"/>
    <m/>
    <m/>
    <m/>
    <x v="6"/>
    <m/>
    <m/>
    <m/>
  </r>
  <r>
    <n v="30"/>
    <x v="22"/>
    <s v="Female"/>
    <x v="4"/>
    <x v="3"/>
    <n v="56467"/>
    <n v="16"/>
    <n v="4"/>
    <s v="Yes"/>
    <s v="No"/>
    <s v="Technical"/>
    <x v="8"/>
    <m/>
    <m/>
    <m/>
    <x v="6"/>
    <m/>
    <m/>
    <m/>
  </r>
  <r>
    <n v="31"/>
    <x v="23"/>
    <s v="Male"/>
    <x v="2"/>
    <x v="4"/>
    <n v="56441"/>
    <n v="14"/>
    <n v="2"/>
    <s v="Yes"/>
    <s v="Yes"/>
    <s v="HR"/>
    <x v="8"/>
    <m/>
    <m/>
    <m/>
    <x v="6"/>
    <m/>
    <m/>
    <m/>
  </r>
  <r>
    <n v="32"/>
    <x v="4"/>
    <s v="Female"/>
    <x v="3"/>
    <x v="1"/>
    <n v="60745"/>
    <n v="4"/>
    <n v="4"/>
    <s v="No"/>
    <s v="Yes"/>
    <s v="HR"/>
    <x v="8"/>
    <m/>
    <m/>
    <m/>
    <x v="6"/>
    <m/>
    <m/>
    <m/>
  </r>
  <r>
    <n v="33"/>
    <x v="23"/>
    <s v="Female"/>
    <x v="0"/>
    <x v="0"/>
    <n v="100717"/>
    <n v="19"/>
    <n v="2"/>
    <s v="No"/>
    <s v="Yes"/>
    <s v="Marketing"/>
    <x v="8"/>
    <m/>
    <m/>
    <m/>
    <x v="6"/>
    <m/>
    <m/>
    <m/>
  </r>
  <r>
    <n v="34"/>
    <x v="0"/>
    <s v="Male"/>
    <x v="0"/>
    <x v="3"/>
    <n v="112310"/>
    <n v="3"/>
    <n v="2"/>
    <s v="No"/>
    <s v="Yes"/>
    <s v="Marketing"/>
    <x v="8"/>
    <m/>
    <m/>
    <m/>
    <x v="6"/>
    <m/>
    <m/>
    <m/>
  </r>
  <r>
    <n v="35"/>
    <x v="24"/>
    <s v="Female"/>
    <x v="3"/>
    <x v="0"/>
    <n v="47914"/>
    <n v="15"/>
    <n v="1"/>
    <s v="Yes"/>
    <s v="Yes"/>
    <s v="Marketing"/>
    <x v="8"/>
    <m/>
    <m/>
    <m/>
    <x v="6"/>
    <m/>
    <m/>
    <m/>
  </r>
  <r>
    <n v="36"/>
    <x v="25"/>
    <s v="Female"/>
    <x v="1"/>
    <x v="0"/>
    <n v="49335"/>
    <n v="20"/>
    <n v="1"/>
    <s v="No"/>
    <s v="Yes"/>
    <s v="Life Sciences"/>
    <x v="8"/>
    <m/>
    <m/>
    <m/>
    <x v="6"/>
    <m/>
    <m/>
    <m/>
  </r>
  <r>
    <n v="37"/>
    <x v="3"/>
    <s v="Male"/>
    <x v="5"/>
    <x v="1"/>
    <n v="19722"/>
    <n v="17"/>
    <n v="1"/>
    <s v="No"/>
    <s v="No"/>
    <s v="Marketing"/>
    <x v="8"/>
    <m/>
    <m/>
    <m/>
    <x v="6"/>
    <m/>
    <m/>
    <m/>
  </r>
  <r>
    <n v="38"/>
    <x v="5"/>
    <s v="Male"/>
    <x v="3"/>
    <x v="4"/>
    <n v="61898"/>
    <n v="1"/>
    <n v="4"/>
    <s v="No"/>
    <s v="Yes"/>
    <s v="HR"/>
    <x v="8"/>
    <m/>
    <m/>
    <m/>
    <x v="6"/>
    <m/>
    <m/>
    <m/>
  </r>
  <r>
    <n v="39"/>
    <x v="3"/>
    <s v="Male"/>
    <x v="4"/>
    <x v="5"/>
    <n v="36299"/>
    <n v="7"/>
    <n v="3"/>
    <s v="No"/>
    <s v="Yes"/>
    <s v="Finance"/>
    <x v="8"/>
    <m/>
    <m/>
    <m/>
    <x v="6"/>
    <m/>
    <m/>
    <m/>
  </r>
  <r>
    <n v="40"/>
    <x v="13"/>
    <s v="Male"/>
    <x v="5"/>
    <x v="1"/>
    <n v="35866"/>
    <n v="8"/>
    <n v="2"/>
    <s v="No"/>
    <s v="Yes"/>
    <s v="Finance"/>
    <x v="8"/>
    <m/>
    <m/>
    <m/>
    <x v="6"/>
    <m/>
    <m/>
    <m/>
  </r>
  <r>
    <n v="41"/>
    <x v="26"/>
    <s v="Male"/>
    <x v="5"/>
    <x v="3"/>
    <n v="119247"/>
    <n v="9"/>
    <n v="3"/>
    <s v="Yes"/>
    <s v="Yes"/>
    <s v="Life Sciences"/>
    <x v="8"/>
    <m/>
    <m/>
    <m/>
    <x v="6"/>
    <m/>
    <m/>
    <m/>
  </r>
  <r>
    <n v="42"/>
    <x v="10"/>
    <s v="Female"/>
    <x v="2"/>
    <x v="0"/>
    <n v="99080"/>
    <n v="11"/>
    <n v="3"/>
    <s v="No"/>
    <s v="No"/>
    <s v="Technical"/>
    <x v="8"/>
    <m/>
    <m/>
    <m/>
    <x v="6"/>
    <m/>
    <m/>
    <m/>
  </r>
  <r>
    <n v="43"/>
    <x v="20"/>
    <s v="Female"/>
    <x v="0"/>
    <x v="3"/>
    <n v="20014"/>
    <n v="8"/>
    <n v="4"/>
    <s v="No"/>
    <s v="Yes"/>
    <s v="HR"/>
    <x v="8"/>
    <m/>
    <m/>
    <m/>
    <x v="6"/>
    <m/>
    <m/>
    <m/>
  </r>
  <r>
    <n v="44"/>
    <x v="24"/>
    <s v="Female"/>
    <x v="2"/>
    <x v="4"/>
    <n v="65488"/>
    <n v="3"/>
    <n v="2"/>
    <s v="No"/>
    <s v="Yes"/>
    <s v="Marketing"/>
    <x v="8"/>
    <m/>
    <m/>
    <m/>
    <x v="6"/>
    <m/>
    <m/>
    <m/>
  </r>
  <r>
    <n v="45"/>
    <x v="1"/>
    <s v="Male"/>
    <x v="0"/>
    <x v="3"/>
    <n v="102062"/>
    <n v="2"/>
    <n v="3"/>
    <s v="No"/>
    <s v="No"/>
    <s v="Finance"/>
    <x v="8"/>
    <m/>
    <m/>
    <m/>
    <x v="6"/>
    <m/>
    <m/>
    <m/>
  </r>
  <r>
    <n v="46"/>
    <x v="27"/>
    <s v="Male"/>
    <x v="5"/>
    <x v="5"/>
    <n v="106384"/>
    <n v="12"/>
    <n v="4"/>
    <s v="No"/>
    <s v="No"/>
    <s v="Technical"/>
    <x v="8"/>
    <m/>
    <m/>
    <m/>
    <x v="6"/>
    <m/>
    <m/>
    <m/>
  </r>
  <r>
    <n v="47"/>
    <x v="22"/>
    <s v="Male"/>
    <x v="5"/>
    <x v="4"/>
    <n v="68225"/>
    <n v="9"/>
    <n v="3"/>
    <s v="No"/>
    <s v="Yes"/>
    <s v="Finance"/>
    <x v="8"/>
    <m/>
    <m/>
    <m/>
    <x v="6"/>
    <m/>
    <m/>
    <m/>
  </r>
  <r>
    <n v="48"/>
    <x v="2"/>
    <s v="Male"/>
    <x v="0"/>
    <x v="0"/>
    <n v="103555"/>
    <n v="14"/>
    <n v="3"/>
    <s v="No"/>
    <s v="Yes"/>
    <s v="HR"/>
    <x v="8"/>
    <m/>
    <m/>
    <m/>
    <x v="6"/>
    <m/>
    <m/>
    <m/>
  </r>
  <r>
    <n v="49"/>
    <x v="28"/>
    <s v="Male"/>
    <x v="4"/>
    <x v="1"/>
    <n v="113453"/>
    <n v="2"/>
    <n v="1"/>
    <s v="No"/>
    <s v="Yes"/>
    <s v="Life Sciences"/>
    <x v="8"/>
    <m/>
    <m/>
    <m/>
    <x v="6"/>
    <m/>
    <m/>
    <m/>
  </r>
  <r>
    <n v="50"/>
    <x v="13"/>
    <s v="Male"/>
    <x v="0"/>
    <x v="5"/>
    <n v="95120"/>
    <n v="15"/>
    <n v="4"/>
    <s v="No"/>
    <s v="Yes"/>
    <s v="Finance"/>
    <x v="8"/>
    <m/>
    <m/>
    <m/>
    <x v="6"/>
    <m/>
    <m/>
    <m/>
  </r>
  <r>
    <n v="51"/>
    <x v="21"/>
    <s v="Male"/>
    <x v="5"/>
    <x v="1"/>
    <n v="34342"/>
    <n v="7"/>
    <n v="2"/>
    <s v="No"/>
    <s v="Yes"/>
    <s v="HR"/>
    <x v="8"/>
    <m/>
    <m/>
    <m/>
    <x v="6"/>
    <m/>
    <m/>
    <m/>
  </r>
  <r>
    <n v="52"/>
    <x v="29"/>
    <s v="Male"/>
    <x v="5"/>
    <x v="1"/>
    <n v="88060"/>
    <n v="1"/>
    <n v="4"/>
    <s v="No"/>
    <s v="Yes"/>
    <s v="HR"/>
    <x v="8"/>
    <m/>
    <m/>
    <m/>
    <x v="6"/>
    <m/>
    <m/>
    <m/>
  </r>
  <r>
    <n v="53"/>
    <x v="14"/>
    <s v="Female"/>
    <x v="1"/>
    <x v="2"/>
    <n v="56588"/>
    <n v="19"/>
    <n v="2"/>
    <s v="No"/>
    <s v="No"/>
    <s v="Finance"/>
    <x v="8"/>
    <m/>
    <m/>
    <m/>
    <x v="6"/>
    <m/>
    <m/>
    <m/>
  </r>
  <r>
    <n v="54"/>
    <x v="2"/>
    <s v="Female"/>
    <x v="1"/>
    <x v="2"/>
    <n v="113536"/>
    <n v="8"/>
    <n v="2"/>
    <s v="No"/>
    <s v="Yes"/>
    <s v="Marketing"/>
    <x v="8"/>
    <m/>
    <m/>
    <m/>
    <x v="6"/>
    <m/>
    <m/>
    <m/>
  </r>
  <r>
    <n v="55"/>
    <x v="2"/>
    <s v="Female"/>
    <x v="3"/>
    <x v="4"/>
    <n v="108525"/>
    <n v="2"/>
    <n v="1"/>
    <s v="Yes"/>
    <s v="No"/>
    <s v="Technical"/>
    <x v="8"/>
    <m/>
    <m/>
    <m/>
    <x v="6"/>
    <m/>
    <m/>
    <m/>
  </r>
  <r>
    <n v="56"/>
    <x v="3"/>
    <s v="Male"/>
    <x v="5"/>
    <x v="2"/>
    <n v="65205"/>
    <n v="7"/>
    <n v="3"/>
    <s v="No"/>
    <s v="Yes"/>
    <s v="HR"/>
    <x v="8"/>
    <m/>
    <m/>
    <m/>
    <x v="6"/>
    <m/>
    <m/>
    <m/>
  </r>
  <r>
    <n v="57"/>
    <x v="29"/>
    <s v="Female"/>
    <x v="1"/>
    <x v="5"/>
    <n v="23161"/>
    <n v="13"/>
    <n v="1"/>
    <s v="No"/>
    <s v="Yes"/>
    <s v="HR"/>
    <x v="8"/>
    <m/>
    <m/>
    <m/>
    <x v="6"/>
    <m/>
    <m/>
    <m/>
  </r>
  <r>
    <n v="58"/>
    <x v="6"/>
    <s v="Female"/>
    <x v="5"/>
    <x v="4"/>
    <n v="15772"/>
    <n v="15"/>
    <n v="2"/>
    <s v="No"/>
    <s v="No"/>
    <s v="Finance"/>
    <x v="8"/>
    <m/>
    <m/>
    <m/>
    <x v="6"/>
    <m/>
    <m/>
    <m/>
  </r>
  <r>
    <n v="59"/>
    <x v="15"/>
    <s v="Female"/>
    <x v="0"/>
    <x v="5"/>
    <n v="72125"/>
    <n v="8"/>
    <n v="4"/>
    <s v="Yes"/>
    <s v="No"/>
    <s v="Technical"/>
    <x v="8"/>
    <m/>
    <m/>
    <m/>
    <x v="6"/>
    <m/>
    <m/>
    <m/>
  </r>
  <r>
    <n v="60"/>
    <x v="29"/>
    <s v="Male"/>
    <x v="2"/>
    <x v="5"/>
    <n v="96560"/>
    <n v="4"/>
    <n v="4"/>
    <s v="No"/>
    <s v="Yes"/>
    <s v="Technical"/>
    <x v="8"/>
    <m/>
    <m/>
    <m/>
    <x v="6"/>
    <m/>
    <m/>
    <m/>
  </r>
  <r>
    <n v="61"/>
    <x v="29"/>
    <s v="Male"/>
    <x v="5"/>
    <x v="3"/>
    <n v="21590"/>
    <n v="5"/>
    <n v="3"/>
    <s v="No"/>
    <s v="No"/>
    <s v="Finance"/>
    <x v="8"/>
    <m/>
    <m/>
    <m/>
    <x v="6"/>
    <m/>
    <m/>
    <m/>
  </r>
  <r>
    <n v="62"/>
    <x v="10"/>
    <s v="Male"/>
    <x v="3"/>
    <x v="1"/>
    <n v="48065"/>
    <n v="13"/>
    <n v="1"/>
    <s v="No"/>
    <s v="Yes"/>
    <s v="Life Sciences"/>
    <x v="8"/>
    <m/>
    <m/>
    <m/>
    <x v="6"/>
    <m/>
    <m/>
    <m/>
  </r>
  <r>
    <n v="63"/>
    <x v="30"/>
    <s v="Male"/>
    <x v="4"/>
    <x v="2"/>
    <n v="41130"/>
    <n v="7"/>
    <n v="1"/>
    <s v="No"/>
    <s v="Yes"/>
    <s v="HR"/>
    <x v="8"/>
    <m/>
    <m/>
    <m/>
    <x v="6"/>
    <m/>
    <m/>
    <m/>
  </r>
  <r>
    <n v="64"/>
    <x v="31"/>
    <s v="Male"/>
    <x v="1"/>
    <x v="4"/>
    <n v="106680"/>
    <n v="14"/>
    <n v="1"/>
    <s v="No"/>
    <s v="No"/>
    <s v="Technical"/>
    <x v="8"/>
    <m/>
    <m/>
    <m/>
    <x v="6"/>
    <m/>
    <m/>
    <m/>
  </r>
  <r>
    <n v="65"/>
    <x v="23"/>
    <s v="Female"/>
    <x v="5"/>
    <x v="5"/>
    <n v="90849"/>
    <n v="3"/>
    <n v="2"/>
    <s v="No"/>
    <s v="Yes"/>
    <s v="Life Sciences"/>
    <x v="8"/>
    <m/>
    <m/>
    <m/>
    <x v="6"/>
    <m/>
    <m/>
    <m/>
  </r>
  <r>
    <n v="66"/>
    <x v="20"/>
    <s v="Female"/>
    <x v="0"/>
    <x v="4"/>
    <n v="46830"/>
    <n v="20"/>
    <n v="1"/>
    <s v="No"/>
    <s v="Yes"/>
    <s v="HR"/>
    <x v="8"/>
    <m/>
    <m/>
    <m/>
    <x v="6"/>
    <m/>
    <m/>
    <m/>
  </r>
  <r>
    <n v="67"/>
    <x v="32"/>
    <s v="Male"/>
    <x v="1"/>
    <x v="5"/>
    <n v="84827"/>
    <n v="11"/>
    <n v="3"/>
    <s v="No"/>
    <s v="No"/>
    <s v="Life Sciences"/>
    <x v="8"/>
    <m/>
    <m/>
    <m/>
    <x v="6"/>
    <m/>
    <m/>
    <m/>
  </r>
  <r>
    <n v="68"/>
    <x v="33"/>
    <s v="Female"/>
    <x v="0"/>
    <x v="1"/>
    <n v="28833"/>
    <n v="15"/>
    <n v="4"/>
    <s v="No"/>
    <s v="No"/>
    <s v="Technical"/>
    <x v="8"/>
    <m/>
    <m/>
    <m/>
    <x v="6"/>
    <m/>
    <m/>
    <m/>
  </r>
  <r>
    <n v="69"/>
    <x v="12"/>
    <s v="Female"/>
    <x v="3"/>
    <x v="1"/>
    <n v="50400"/>
    <n v="20"/>
    <n v="1"/>
    <s v="No"/>
    <s v="No"/>
    <s v="Marketing"/>
    <x v="8"/>
    <m/>
    <m/>
    <m/>
    <x v="6"/>
    <m/>
    <m/>
    <m/>
  </r>
  <r>
    <n v="70"/>
    <x v="2"/>
    <s v="Female"/>
    <x v="3"/>
    <x v="0"/>
    <n v="113366"/>
    <n v="7"/>
    <n v="4"/>
    <s v="No"/>
    <s v="No"/>
    <s v="Marketing"/>
    <x v="8"/>
    <m/>
    <m/>
    <m/>
    <x v="6"/>
    <m/>
    <m/>
    <m/>
  </r>
  <r>
    <n v="71"/>
    <x v="11"/>
    <s v="Female"/>
    <x v="3"/>
    <x v="4"/>
    <n v="42802"/>
    <n v="15"/>
    <n v="3"/>
    <s v="No"/>
    <s v="No"/>
    <s v="HR"/>
    <x v="8"/>
    <m/>
    <m/>
    <m/>
    <x v="6"/>
    <m/>
    <m/>
    <m/>
  </r>
  <r>
    <n v="72"/>
    <x v="34"/>
    <s v="Female"/>
    <x v="5"/>
    <x v="4"/>
    <n v="40042"/>
    <n v="16"/>
    <n v="2"/>
    <s v="Yes"/>
    <s v="Yes"/>
    <s v="Finance"/>
    <x v="8"/>
    <m/>
    <m/>
    <m/>
    <x v="6"/>
    <m/>
    <m/>
    <m/>
  </r>
  <r>
    <n v="73"/>
    <x v="9"/>
    <s v="Male"/>
    <x v="5"/>
    <x v="5"/>
    <n v="118931"/>
    <n v="14"/>
    <n v="2"/>
    <s v="Yes"/>
    <s v="Yes"/>
    <s v="Marketing"/>
    <x v="8"/>
    <m/>
    <m/>
    <m/>
    <x v="6"/>
    <m/>
    <m/>
    <m/>
  </r>
  <r>
    <n v="74"/>
    <x v="20"/>
    <s v="Female"/>
    <x v="3"/>
    <x v="5"/>
    <n v="77031"/>
    <n v="11"/>
    <n v="4"/>
    <s v="No"/>
    <s v="No"/>
    <s v="Marketing"/>
    <x v="8"/>
    <m/>
    <m/>
    <m/>
    <x v="6"/>
    <m/>
    <m/>
    <m/>
  </r>
  <r>
    <n v="75"/>
    <x v="23"/>
    <s v="Female"/>
    <x v="2"/>
    <x v="5"/>
    <n v="45217"/>
    <n v="8"/>
    <n v="2"/>
    <s v="No"/>
    <s v="Yes"/>
    <s v="Technical"/>
    <x v="8"/>
    <m/>
    <m/>
    <m/>
    <x v="6"/>
    <m/>
    <m/>
    <m/>
  </r>
  <r>
    <n v="76"/>
    <x v="31"/>
    <s v="Male"/>
    <x v="3"/>
    <x v="1"/>
    <n v="51241"/>
    <n v="15"/>
    <n v="3"/>
    <s v="No"/>
    <s v="No"/>
    <s v="Technical"/>
    <x v="8"/>
    <m/>
    <m/>
    <m/>
    <x v="6"/>
    <m/>
    <m/>
    <m/>
  </r>
  <r>
    <n v="77"/>
    <x v="23"/>
    <s v="Male"/>
    <x v="1"/>
    <x v="3"/>
    <n v="107801"/>
    <n v="0"/>
    <n v="2"/>
    <s v="Yes"/>
    <s v="Yes"/>
    <s v="Finance"/>
    <x v="8"/>
    <m/>
    <m/>
    <m/>
    <x v="6"/>
    <m/>
    <m/>
    <m/>
  </r>
  <r>
    <n v="78"/>
    <x v="16"/>
    <s v="Female"/>
    <x v="3"/>
    <x v="1"/>
    <n v="90243"/>
    <n v="0"/>
    <n v="1"/>
    <s v="No"/>
    <s v="No"/>
    <s v="Marketing"/>
    <x v="8"/>
    <m/>
    <m/>
    <m/>
    <x v="6"/>
    <m/>
    <m/>
    <m/>
  </r>
  <r>
    <n v="79"/>
    <x v="35"/>
    <s v="Male"/>
    <x v="4"/>
    <x v="1"/>
    <n v="23564"/>
    <n v="3"/>
    <n v="3"/>
    <s v="No"/>
    <s v="No"/>
    <s v="Life Sciences"/>
    <x v="8"/>
    <m/>
    <m/>
    <m/>
    <x v="6"/>
    <m/>
    <m/>
    <m/>
  </r>
  <r>
    <n v="80"/>
    <x v="13"/>
    <s v="Male"/>
    <x v="1"/>
    <x v="2"/>
    <n v="88147"/>
    <n v="3"/>
    <n v="4"/>
    <s v="No"/>
    <s v="No"/>
    <s v="Finance"/>
    <x v="8"/>
    <m/>
    <m/>
    <m/>
    <x v="6"/>
    <m/>
    <m/>
    <m/>
  </r>
  <r>
    <n v="81"/>
    <x v="23"/>
    <s v="Male"/>
    <x v="1"/>
    <x v="5"/>
    <n v="71207"/>
    <n v="18"/>
    <n v="1"/>
    <s v="No"/>
    <s v="No"/>
    <s v="Technical"/>
    <x v="8"/>
    <m/>
    <m/>
    <m/>
    <x v="6"/>
    <m/>
    <m/>
    <m/>
  </r>
  <r>
    <n v="82"/>
    <x v="31"/>
    <s v="Male"/>
    <x v="1"/>
    <x v="0"/>
    <n v="101563"/>
    <n v="8"/>
    <n v="2"/>
    <s v="Yes"/>
    <s v="Yes"/>
    <s v="Life Sciences"/>
    <x v="8"/>
    <m/>
    <m/>
    <m/>
    <x v="6"/>
    <m/>
    <m/>
    <m/>
  </r>
  <r>
    <n v="83"/>
    <x v="33"/>
    <s v="Male"/>
    <x v="3"/>
    <x v="5"/>
    <n v="105357"/>
    <n v="14"/>
    <n v="3"/>
    <s v="No"/>
    <s v="No"/>
    <s v="Finance"/>
    <x v="8"/>
    <m/>
    <m/>
    <m/>
    <x v="6"/>
    <m/>
    <m/>
    <m/>
  </r>
  <r>
    <n v="84"/>
    <x v="36"/>
    <s v="Male"/>
    <x v="0"/>
    <x v="1"/>
    <n v="49675"/>
    <n v="7"/>
    <n v="3"/>
    <s v="No"/>
    <s v="Yes"/>
    <s v="Technical"/>
    <x v="8"/>
    <m/>
    <m/>
    <m/>
    <x v="6"/>
    <m/>
    <m/>
    <m/>
  </r>
  <r>
    <n v="85"/>
    <x v="36"/>
    <s v="Female"/>
    <x v="5"/>
    <x v="0"/>
    <n v="36747"/>
    <n v="1"/>
    <n v="4"/>
    <s v="No"/>
    <s v="No"/>
    <s v="Marketing"/>
    <x v="8"/>
    <m/>
    <m/>
    <m/>
    <x v="6"/>
    <m/>
    <m/>
    <m/>
  </r>
  <r>
    <n v="86"/>
    <x v="21"/>
    <s v="Male"/>
    <x v="5"/>
    <x v="5"/>
    <n v="80597"/>
    <n v="8"/>
    <n v="3"/>
    <s v="No"/>
    <s v="No"/>
    <s v="HR"/>
    <x v="8"/>
    <m/>
    <m/>
    <m/>
    <x v="6"/>
    <m/>
    <m/>
    <m/>
  </r>
  <r>
    <n v="87"/>
    <x v="4"/>
    <s v="Male"/>
    <x v="0"/>
    <x v="3"/>
    <n v="26970"/>
    <n v="0"/>
    <n v="1"/>
    <s v="No"/>
    <s v="Yes"/>
    <s v="Technical"/>
    <x v="8"/>
    <m/>
    <m/>
    <m/>
    <x v="6"/>
    <m/>
    <m/>
    <m/>
  </r>
  <r>
    <n v="88"/>
    <x v="35"/>
    <s v="Male"/>
    <x v="1"/>
    <x v="2"/>
    <n v="100394"/>
    <n v="16"/>
    <n v="4"/>
    <s v="No"/>
    <s v="No"/>
    <s v="Life Sciences"/>
    <x v="8"/>
    <m/>
    <m/>
    <m/>
    <x v="6"/>
    <m/>
    <m/>
    <m/>
  </r>
  <r>
    <n v="89"/>
    <x v="35"/>
    <s v="Male"/>
    <x v="4"/>
    <x v="3"/>
    <n v="68523"/>
    <n v="11"/>
    <n v="4"/>
    <s v="No"/>
    <s v="No"/>
    <s v="Finance"/>
    <x v="8"/>
    <m/>
    <m/>
    <m/>
    <x v="6"/>
    <m/>
    <m/>
    <m/>
  </r>
  <r>
    <n v="90"/>
    <x v="37"/>
    <s v="Female"/>
    <x v="3"/>
    <x v="3"/>
    <n v="114680"/>
    <n v="12"/>
    <n v="1"/>
    <s v="No"/>
    <s v="Yes"/>
    <s v="Finance"/>
    <x v="8"/>
    <m/>
    <m/>
    <m/>
    <x v="6"/>
    <m/>
    <m/>
    <m/>
  </r>
  <r>
    <n v="91"/>
    <x v="24"/>
    <s v="Male"/>
    <x v="1"/>
    <x v="3"/>
    <n v="101200"/>
    <n v="0"/>
    <n v="4"/>
    <s v="No"/>
    <s v="No"/>
    <s v="Finance"/>
    <x v="8"/>
    <m/>
    <m/>
    <m/>
    <x v="6"/>
    <m/>
    <m/>
    <m/>
  </r>
  <r>
    <n v="92"/>
    <x v="8"/>
    <s v="Female"/>
    <x v="0"/>
    <x v="2"/>
    <n v="50003"/>
    <n v="6"/>
    <n v="1"/>
    <s v="No"/>
    <s v="Yes"/>
    <s v="Life Sciences"/>
    <x v="8"/>
    <m/>
    <m/>
    <m/>
    <x v="6"/>
    <m/>
    <m/>
    <m/>
  </r>
  <r>
    <n v="93"/>
    <x v="7"/>
    <s v="Male"/>
    <x v="1"/>
    <x v="2"/>
    <n v="108032"/>
    <n v="7"/>
    <n v="1"/>
    <s v="No"/>
    <s v="Yes"/>
    <s v="Technical"/>
    <x v="8"/>
    <m/>
    <m/>
    <m/>
    <x v="6"/>
    <m/>
    <m/>
    <m/>
  </r>
  <r>
    <n v="94"/>
    <x v="0"/>
    <s v="Female"/>
    <x v="1"/>
    <x v="5"/>
    <n v="30396"/>
    <n v="14"/>
    <n v="3"/>
    <s v="No"/>
    <s v="Yes"/>
    <s v="Finance"/>
    <x v="8"/>
    <m/>
    <m/>
    <m/>
    <x v="6"/>
    <m/>
    <m/>
    <m/>
  </r>
  <r>
    <n v="95"/>
    <x v="35"/>
    <s v="Female"/>
    <x v="4"/>
    <x v="4"/>
    <n v="46946"/>
    <n v="15"/>
    <n v="2"/>
    <s v="No"/>
    <s v="No"/>
    <s v="Life Sciences"/>
    <x v="8"/>
    <m/>
    <m/>
    <m/>
    <x v="6"/>
    <m/>
    <m/>
    <m/>
  </r>
  <r>
    <n v="96"/>
    <x v="10"/>
    <s v="Female"/>
    <x v="0"/>
    <x v="3"/>
    <n v="59548"/>
    <n v="13"/>
    <n v="4"/>
    <s v="No"/>
    <s v="No"/>
    <s v="Technical"/>
    <x v="8"/>
    <m/>
    <m/>
    <m/>
    <x v="6"/>
    <m/>
    <m/>
    <m/>
  </r>
  <r>
    <n v="97"/>
    <x v="2"/>
    <s v="Female"/>
    <x v="5"/>
    <x v="3"/>
    <n v="78483"/>
    <n v="17"/>
    <n v="2"/>
    <s v="No"/>
    <s v="No"/>
    <s v="Technical"/>
    <x v="8"/>
    <m/>
    <m/>
    <m/>
    <x v="6"/>
    <m/>
    <m/>
    <m/>
  </r>
  <r>
    <n v="98"/>
    <x v="22"/>
    <s v="Female"/>
    <x v="0"/>
    <x v="2"/>
    <n v="45613"/>
    <n v="12"/>
    <n v="4"/>
    <s v="Yes"/>
    <s v="No"/>
    <s v="Technical"/>
    <x v="8"/>
    <m/>
    <m/>
    <m/>
    <x v="6"/>
    <m/>
    <m/>
    <m/>
  </r>
  <r>
    <n v="99"/>
    <x v="9"/>
    <s v="Female"/>
    <x v="2"/>
    <x v="4"/>
    <n v="31547"/>
    <n v="1"/>
    <n v="4"/>
    <s v="No"/>
    <s v="No"/>
    <s v="Life Sciences"/>
    <x v="8"/>
    <m/>
    <m/>
    <m/>
    <x v="6"/>
    <m/>
    <m/>
    <m/>
  </r>
  <r>
    <n v="100"/>
    <x v="3"/>
    <s v="Female"/>
    <x v="3"/>
    <x v="4"/>
    <n v="100823"/>
    <n v="13"/>
    <n v="4"/>
    <s v="Yes"/>
    <s v="Yes"/>
    <s v="Life Sciences"/>
    <x v="8"/>
    <m/>
    <m/>
    <m/>
    <x v="6"/>
    <m/>
    <m/>
    <m/>
  </r>
  <r>
    <n v="101"/>
    <x v="28"/>
    <s v="Female"/>
    <x v="1"/>
    <x v="0"/>
    <n v="64808"/>
    <n v="17"/>
    <n v="1"/>
    <s v="No"/>
    <s v="No"/>
    <s v="Technical"/>
    <x v="8"/>
    <m/>
    <m/>
    <m/>
    <x v="6"/>
    <m/>
    <m/>
    <m/>
  </r>
  <r>
    <n v="102"/>
    <x v="37"/>
    <s v="Male"/>
    <x v="0"/>
    <x v="5"/>
    <n v="112880"/>
    <n v="7"/>
    <n v="1"/>
    <s v="No"/>
    <s v="Yes"/>
    <s v="Finance"/>
    <x v="8"/>
    <m/>
    <m/>
    <m/>
    <x v="6"/>
    <m/>
    <m/>
    <m/>
  </r>
  <r>
    <n v="103"/>
    <x v="18"/>
    <s v="Male"/>
    <x v="3"/>
    <x v="3"/>
    <n v="18794"/>
    <n v="9"/>
    <n v="3"/>
    <s v="No"/>
    <s v="Yes"/>
    <s v="Finance"/>
    <x v="8"/>
    <m/>
    <m/>
    <m/>
    <x v="6"/>
    <m/>
    <m/>
    <m/>
  </r>
  <r>
    <n v="104"/>
    <x v="3"/>
    <s v="Male"/>
    <x v="4"/>
    <x v="1"/>
    <n v="84621"/>
    <n v="7"/>
    <n v="1"/>
    <s v="No"/>
    <s v="No"/>
    <s v="HR"/>
    <x v="8"/>
    <m/>
    <m/>
    <m/>
    <x v="6"/>
    <m/>
    <m/>
    <m/>
  </r>
  <r>
    <n v="105"/>
    <x v="6"/>
    <s v="Male"/>
    <x v="4"/>
    <x v="2"/>
    <n v="104539"/>
    <n v="19"/>
    <n v="3"/>
    <s v="No"/>
    <s v="Yes"/>
    <s v="Finance"/>
    <x v="8"/>
    <m/>
    <m/>
    <m/>
    <x v="6"/>
    <m/>
    <m/>
    <m/>
  </r>
  <r>
    <n v="106"/>
    <x v="4"/>
    <s v="Male"/>
    <x v="2"/>
    <x v="2"/>
    <n v="75981"/>
    <n v="0"/>
    <n v="3"/>
    <s v="No"/>
    <s v="No"/>
    <s v="HR"/>
    <x v="8"/>
    <m/>
    <m/>
    <m/>
    <x v="6"/>
    <m/>
    <m/>
    <m/>
  </r>
  <r>
    <n v="107"/>
    <x v="23"/>
    <s v="Female"/>
    <x v="4"/>
    <x v="2"/>
    <n v="70615"/>
    <n v="20"/>
    <n v="4"/>
    <s v="No"/>
    <s v="No"/>
    <s v="Life Sciences"/>
    <x v="8"/>
    <m/>
    <m/>
    <m/>
    <x v="6"/>
    <m/>
    <m/>
    <m/>
  </r>
  <r>
    <n v="108"/>
    <x v="13"/>
    <s v="Female"/>
    <x v="2"/>
    <x v="5"/>
    <n v="89963"/>
    <n v="12"/>
    <n v="4"/>
    <s v="No"/>
    <s v="No"/>
    <s v="Marketing"/>
    <x v="8"/>
    <m/>
    <m/>
    <m/>
    <x v="6"/>
    <m/>
    <m/>
    <m/>
  </r>
  <r>
    <n v="109"/>
    <x v="34"/>
    <s v="Female"/>
    <x v="3"/>
    <x v="1"/>
    <n v="104889"/>
    <n v="18"/>
    <n v="3"/>
    <s v="No"/>
    <s v="Yes"/>
    <s v="Technical"/>
    <x v="8"/>
    <m/>
    <m/>
    <m/>
    <x v="6"/>
    <m/>
    <m/>
    <m/>
  </r>
  <r>
    <n v="110"/>
    <x v="19"/>
    <s v="Male"/>
    <x v="3"/>
    <x v="2"/>
    <n v="47850"/>
    <n v="19"/>
    <n v="1"/>
    <s v="No"/>
    <s v="Yes"/>
    <s v="HR"/>
    <x v="8"/>
    <m/>
    <m/>
    <m/>
    <x v="6"/>
    <m/>
    <m/>
    <m/>
  </r>
  <r>
    <n v="111"/>
    <x v="5"/>
    <s v="Female"/>
    <x v="4"/>
    <x v="1"/>
    <n v="26813"/>
    <n v="4"/>
    <n v="2"/>
    <s v="No"/>
    <s v="No"/>
    <s v="HR"/>
    <x v="8"/>
    <m/>
    <m/>
    <m/>
    <x v="6"/>
    <m/>
    <m/>
    <m/>
  </r>
  <r>
    <n v="112"/>
    <x v="5"/>
    <s v="Female"/>
    <x v="5"/>
    <x v="3"/>
    <n v="80771"/>
    <n v="16"/>
    <n v="3"/>
    <s v="No"/>
    <s v="No"/>
    <s v="Life Sciences"/>
    <x v="8"/>
    <m/>
    <m/>
    <m/>
    <x v="6"/>
    <m/>
    <m/>
    <m/>
  </r>
  <r>
    <n v="113"/>
    <x v="29"/>
    <s v="Female"/>
    <x v="1"/>
    <x v="3"/>
    <n v="33449"/>
    <n v="2"/>
    <n v="1"/>
    <s v="No"/>
    <s v="Yes"/>
    <s v="Finance"/>
    <x v="8"/>
    <m/>
    <m/>
    <m/>
    <x v="6"/>
    <m/>
    <m/>
    <m/>
  </r>
  <r>
    <n v="114"/>
    <x v="34"/>
    <s v="Female"/>
    <x v="1"/>
    <x v="2"/>
    <n v="85329"/>
    <n v="8"/>
    <n v="3"/>
    <s v="No"/>
    <s v="Yes"/>
    <s v="Life Sciences"/>
    <x v="8"/>
    <m/>
    <m/>
    <m/>
    <x v="6"/>
    <m/>
    <m/>
    <m/>
  </r>
  <r>
    <n v="115"/>
    <x v="15"/>
    <s v="Male"/>
    <x v="0"/>
    <x v="0"/>
    <n v="18280"/>
    <n v="15"/>
    <n v="4"/>
    <s v="No"/>
    <s v="No"/>
    <s v="Marketing"/>
    <x v="8"/>
    <m/>
    <m/>
    <m/>
    <x v="6"/>
    <m/>
    <m/>
    <m/>
  </r>
  <r>
    <n v="116"/>
    <x v="33"/>
    <s v="Female"/>
    <x v="5"/>
    <x v="0"/>
    <n v="33320"/>
    <n v="3"/>
    <n v="1"/>
    <s v="No"/>
    <s v="Yes"/>
    <s v="Technical"/>
    <x v="8"/>
    <m/>
    <m/>
    <m/>
    <x v="6"/>
    <m/>
    <m/>
    <m/>
  </r>
  <r>
    <n v="117"/>
    <x v="17"/>
    <s v="Female"/>
    <x v="1"/>
    <x v="5"/>
    <n v="65940"/>
    <n v="4"/>
    <n v="2"/>
    <s v="No"/>
    <s v="No"/>
    <s v="Finance"/>
    <x v="8"/>
    <m/>
    <m/>
    <m/>
    <x v="6"/>
    <m/>
    <m/>
    <m/>
  </r>
  <r>
    <n v="118"/>
    <x v="16"/>
    <s v="Female"/>
    <x v="2"/>
    <x v="5"/>
    <n v="95694"/>
    <n v="15"/>
    <n v="3"/>
    <s v="No"/>
    <s v="No"/>
    <s v="Technical"/>
    <x v="8"/>
    <m/>
    <m/>
    <m/>
    <x v="6"/>
    <m/>
    <m/>
    <m/>
  </r>
  <r>
    <n v="119"/>
    <x v="2"/>
    <s v="Female"/>
    <x v="1"/>
    <x v="5"/>
    <n v="45947"/>
    <n v="14"/>
    <n v="3"/>
    <s v="Yes"/>
    <s v="No"/>
    <s v="Life Sciences"/>
    <x v="8"/>
    <m/>
    <m/>
    <m/>
    <x v="6"/>
    <m/>
    <m/>
    <m/>
  </r>
  <r>
    <n v="120"/>
    <x v="21"/>
    <s v="Female"/>
    <x v="2"/>
    <x v="5"/>
    <n v="39878"/>
    <n v="8"/>
    <n v="2"/>
    <s v="No"/>
    <s v="Yes"/>
    <s v="HR"/>
    <x v="8"/>
    <m/>
    <m/>
    <m/>
    <x v="6"/>
    <m/>
    <m/>
    <m/>
  </r>
  <r>
    <n v="121"/>
    <x v="30"/>
    <s v="Male"/>
    <x v="1"/>
    <x v="1"/>
    <n v="118126"/>
    <n v="1"/>
    <n v="1"/>
    <s v="Yes"/>
    <s v="No"/>
    <s v="HR"/>
    <x v="8"/>
    <m/>
    <m/>
    <m/>
    <x v="6"/>
    <m/>
    <m/>
    <m/>
  </r>
  <r>
    <n v="122"/>
    <x v="31"/>
    <s v="Male"/>
    <x v="1"/>
    <x v="0"/>
    <n v="43305"/>
    <n v="18"/>
    <n v="3"/>
    <s v="No"/>
    <s v="Yes"/>
    <s v="Technical"/>
    <x v="8"/>
    <m/>
    <m/>
    <m/>
    <x v="6"/>
    <m/>
    <m/>
    <m/>
  </r>
  <r>
    <n v="123"/>
    <x v="25"/>
    <s v="Male"/>
    <x v="4"/>
    <x v="0"/>
    <n v="47853"/>
    <n v="17"/>
    <n v="3"/>
    <s v="Yes"/>
    <s v="Yes"/>
    <s v="Technical"/>
    <x v="8"/>
    <m/>
    <m/>
    <m/>
    <x v="6"/>
    <m/>
    <m/>
    <m/>
  </r>
  <r>
    <n v="124"/>
    <x v="20"/>
    <s v="Male"/>
    <x v="0"/>
    <x v="2"/>
    <n v="17068"/>
    <n v="10"/>
    <n v="1"/>
    <s v="No"/>
    <s v="Yes"/>
    <s v="Life Sciences"/>
    <x v="8"/>
    <m/>
    <m/>
    <m/>
    <x v="6"/>
    <m/>
    <m/>
    <m/>
  </r>
  <r>
    <n v="125"/>
    <x v="35"/>
    <s v="Male"/>
    <x v="5"/>
    <x v="4"/>
    <n v="116976"/>
    <n v="14"/>
    <n v="2"/>
    <s v="No"/>
    <s v="No"/>
    <s v="HR"/>
    <x v="8"/>
    <m/>
    <m/>
    <m/>
    <x v="6"/>
    <m/>
    <m/>
    <m/>
  </r>
  <r>
    <n v="126"/>
    <x v="32"/>
    <s v="Male"/>
    <x v="2"/>
    <x v="2"/>
    <n v="54535"/>
    <n v="16"/>
    <n v="4"/>
    <s v="No"/>
    <s v="No"/>
    <s v="Finance"/>
    <x v="8"/>
    <m/>
    <m/>
    <m/>
    <x v="6"/>
    <m/>
    <m/>
    <m/>
  </r>
  <r>
    <n v="127"/>
    <x v="16"/>
    <s v="Male"/>
    <x v="3"/>
    <x v="4"/>
    <n v="108375"/>
    <n v="15"/>
    <n v="2"/>
    <s v="Yes"/>
    <s v="No"/>
    <s v="Life Sciences"/>
    <x v="8"/>
    <m/>
    <m/>
    <m/>
    <x v="6"/>
    <m/>
    <m/>
    <m/>
  </r>
  <r>
    <n v="128"/>
    <x v="25"/>
    <s v="Female"/>
    <x v="5"/>
    <x v="4"/>
    <n v="96830"/>
    <n v="8"/>
    <n v="4"/>
    <s v="No"/>
    <s v="No"/>
    <s v="Life Sciences"/>
    <x v="8"/>
    <m/>
    <m/>
    <m/>
    <x v="6"/>
    <m/>
    <m/>
    <m/>
  </r>
  <r>
    <n v="129"/>
    <x v="0"/>
    <s v="Male"/>
    <x v="5"/>
    <x v="3"/>
    <n v="100316"/>
    <n v="20"/>
    <n v="4"/>
    <s v="No"/>
    <s v="Yes"/>
    <s v="Finance"/>
    <x v="8"/>
    <m/>
    <m/>
    <m/>
    <x v="6"/>
    <m/>
    <m/>
    <m/>
  </r>
  <r>
    <n v="130"/>
    <x v="33"/>
    <s v="Female"/>
    <x v="3"/>
    <x v="1"/>
    <n v="55966"/>
    <n v="3"/>
    <n v="4"/>
    <s v="No"/>
    <s v="No"/>
    <s v="Life Sciences"/>
    <x v="8"/>
    <m/>
    <m/>
    <m/>
    <x v="6"/>
    <m/>
    <m/>
    <m/>
  </r>
  <r>
    <n v="131"/>
    <x v="38"/>
    <s v="Female"/>
    <x v="4"/>
    <x v="4"/>
    <n v="27219"/>
    <n v="2"/>
    <n v="1"/>
    <s v="Yes"/>
    <s v="No"/>
    <s v="HR"/>
    <x v="8"/>
    <m/>
    <m/>
    <m/>
    <x v="6"/>
    <m/>
    <m/>
    <m/>
  </r>
  <r>
    <n v="132"/>
    <x v="14"/>
    <s v="Female"/>
    <x v="0"/>
    <x v="0"/>
    <n v="58207"/>
    <n v="17"/>
    <n v="3"/>
    <s v="No"/>
    <s v="Yes"/>
    <s v="HR"/>
    <x v="8"/>
    <m/>
    <m/>
    <m/>
    <x v="6"/>
    <m/>
    <m/>
    <m/>
  </r>
  <r>
    <n v="133"/>
    <x v="23"/>
    <s v="Female"/>
    <x v="4"/>
    <x v="0"/>
    <n v="28579"/>
    <n v="11"/>
    <n v="3"/>
    <s v="Yes"/>
    <s v="Yes"/>
    <s v="HR"/>
    <x v="8"/>
    <m/>
    <m/>
    <m/>
    <x v="6"/>
    <m/>
    <m/>
    <m/>
  </r>
  <r>
    <n v="134"/>
    <x v="5"/>
    <s v="Female"/>
    <x v="1"/>
    <x v="4"/>
    <n v="114956"/>
    <n v="3"/>
    <n v="1"/>
    <s v="No"/>
    <s v="No"/>
    <s v="HR"/>
    <x v="8"/>
    <m/>
    <m/>
    <m/>
    <x v="6"/>
    <m/>
    <m/>
    <m/>
  </r>
  <r>
    <n v="135"/>
    <x v="10"/>
    <s v="Female"/>
    <x v="3"/>
    <x v="3"/>
    <n v="38647"/>
    <n v="0"/>
    <n v="1"/>
    <s v="No"/>
    <s v="No"/>
    <s v="Technical"/>
    <x v="8"/>
    <m/>
    <m/>
    <m/>
    <x v="6"/>
    <m/>
    <m/>
    <m/>
  </r>
  <r>
    <n v="136"/>
    <x v="3"/>
    <s v="Male"/>
    <x v="2"/>
    <x v="5"/>
    <n v="101159"/>
    <n v="18"/>
    <n v="2"/>
    <s v="Yes"/>
    <s v="No"/>
    <s v="Finance"/>
    <x v="8"/>
    <m/>
    <m/>
    <m/>
    <x v="6"/>
    <m/>
    <m/>
    <m/>
  </r>
  <r>
    <n v="137"/>
    <x v="33"/>
    <s v="Female"/>
    <x v="1"/>
    <x v="4"/>
    <n v="59681"/>
    <n v="14"/>
    <n v="1"/>
    <s v="No"/>
    <s v="Yes"/>
    <s v="Life Sciences"/>
    <x v="8"/>
    <m/>
    <m/>
    <m/>
    <x v="6"/>
    <m/>
    <m/>
    <m/>
  </r>
  <r>
    <n v="138"/>
    <x v="3"/>
    <s v="Female"/>
    <x v="5"/>
    <x v="5"/>
    <n v="113885"/>
    <n v="5"/>
    <n v="4"/>
    <s v="No"/>
    <s v="Yes"/>
    <s v="Finance"/>
    <x v="8"/>
    <m/>
    <m/>
    <m/>
    <x v="6"/>
    <m/>
    <m/>
    <m/>
  </r>
  <r>
    <n v="139"/>
    <x v="7"/>
    <s v="Male"/>
    <x v="3"/>
    <x v="2"/>
    <n v="69287"/>
    <n v="14"/>
    <n v="1"/>
    <s v="Yes"/>
    <s v="No"/>
    <s v="Marketing"/>
    <x v="8"/>
    <m/>
    <m/>
    <m/>
    <x v="6"/>
    <m/>
    <m/>
    <m/>
  </r>
  <r>
    <n v="140"/>
    <x v="20"/>
    <s v="Female"/>
    <x v="1"/>
    <x v="0"/>
    <n v="84066"/>
    <n v="15"/>
    <n v="1"/>
    <s v="Yes"/>
    <s v="No"/>
    <s v="Technical"/>
    <x v="8"/>
    <m/>
    <m/>
    <m/>
    <x v="6"/>
    <m/>
    <m/>
    <m/>
  </r>
  <r>
    <n v="141"/>
    <x v="23"/>
    <s v="Female"/>
    <x v="3"/>
    <x v="0"/>
    <n v="115578"/>
    <n v="6"/>
    <n v="1"/>
    <s v="No"/>
    <s v="Yes"/>
    <s v="Finance"/>
    <x v="8"/>
    <m/>
    <m/>
    <m/>
    <x v="6"/>
    <m/>
    <m/>
    <m/>
  </r>
  <r>
    <n v="142"/>
    <x v="1"/>
    <s v="Male"/>
    <x v="1"/>
    <x v="4"/>
    <n v="31932"/>
    <n v="5"/>
    <n v="3"/>
    <s v="No"/>
    <s v="No"/>
    <s v="Life Sciences"/>
    <x v="8"/>
    <m/>
    <m/>
    <m/>
    <x v="6"/>
    <m/>
    <m/>
    <m/>
  </r>
  <r>
    <n v="143"/>
    <x v="21"/>
    <s v="Male"/>
    <x v="3"/>
    <x v="4"/>
    <n v="72176"/>
    <n v="1"/>
    <n v="4"/>
    <s v="Yes"/>
    <s v="Yes"/>
    <s v="HR"/>
    <x v="8"/>
    <m/>
    <m/>
    <m/>
    <x v="6"/>
    <m/>
    <m/>
    <m/>
  </r>
  <r>
    <n v="144"/>
    <x v="21"/>
    <s v="Male"/>
    <x v="3"/>
    <x v="1"/>
    <n v="69747"/>
    <n v="20"/>
    <n v="4"/>
    <s v="Yes"/>
    <s v="No"/>
    <s v="Marketing"/>
    <x v="8"/>
    <m/>
    <m/>
    <m/>
    <x v="6"/>
    <m/>
    <m/>
    <m/>
  </r>
  <r>
    <n v="145"/>
    <x v="38"/>
    <s v="Female"/>
    <x v="1"/>
    <x v="0"/>
    <n v="28875"/>
    <n v="13"/>
    <n v="4"/>
    <s v="No"/>
    <s v="Yes"/>
    <s v="Marketing"/>
    <x v="8"/>
    <m/>
    <m/>
    <m/>
    <x v="6"/>
    <m/>
    <m/>
    <m/>
  </r>
  <r>
    <n v="146"/>
    <x v="28"/>
    <s v="Male"/>
    <x v="1"/>
    <x v="4"/>
    <n v="58655"/>
    <n v="7"/>
    <n v="2"/>
    <s v="Yes"/>
    <s v="Yes"/>
    <s v="Marketing"/>
    <x v="8"/>
    <m/>
    <m/>
    <m/>
    <x v="6"/>
    <m/>
    <m/>
    <m/>
  </r>
  <r>
    <n v="147"/>
    <x v="26"/>
    <s v="Female"/>
    <x v="4"/>
    <x v="1"/>
    <n v="34358"/>
    <n v="20"/>
    <n v="2"/>
    <s v="Yes"/>
    <s v="Yes"/>
    <s v="Life Sciences"/>
    <x v="8"/>
    <m/>
    <m/>
    <m/>
    <x v="6"/>
    <m/>
    <m/>
    <m/>
  </r>
  <r>
    <n v="148"/>
    <x v="11"/>
    <s v="Female"/>
    <x v="0"/>
    <x v="4"/>
    <n v="79764"/>
    <n v="20"/>
    <n v="3"/>
    <s v="No"/>
    <s v="No"/>
    <s v="Marketing"/>
    <x v="8"/>
    <m/>
    <m/>
    <m/>
    <x v="6"/>
    <m/>
    <m/>
    <m/>
  </r>
  <r>
    <n v="149"/>
    <x v="3"/>
    <s v="Female"/>
    <x v="3"/>
    <x v="4"/>
    <n v="23950"/>
    <n v="14"/>
    <n v="1"/>
    <s v="No"/>
    <s v="No"/>
    <s v="Marketing"/>
    <x v="8"/>
    <m/>
    <m/>
    <m/>
    <x v="6"/>
    <m/>
    <m/>
    <m/>
  </r>
  <r>
    <n v="150"/>
    <x v="24"/>
    <s v="Male"/>
    <x v="3"/>
    <x v="3"/>
    <n v="55685"/>
    <n v="2"/>
    <n v="1"/>
    <s v="No"/>
    <s v="No"/>
    <s v="Life Sciences"/>
    <x v="8"/>
    <m/>
    <m/>
    <m/>
    <x v="6"/>
    <m/>
    <m/>
    <m/>
  </r>
  <r>
    <n v="151"/>
    <x v="7"/>
    <s v="Male"/>
    <x v="5"/>
    <x v="4"/>
    <n v="65394"/>
    <n v="16"/>
    <n v="2"/>
    <s v="No"/>
    <s v="No"/>
    <s v="Marketing"/>
    <x v="8"/>
    <m/>
    <m/>
    <m/>
    <x v="6"/>
    <m/>
    <m/>
    <m/>
  </r>
  <r>
    <n v="152"/>
    <x v="7"/>
    <s v="Female"/>
    <x v="2"/>
    <x v="3"/>
    <n v="80715"/>
    <n v="15"/>
    <n v="1"/>
    <s v="No"/>
    <s v="Yes"/>
    <s v="HR"/>
    <x v="8"/>
    <m/>
    <m/>
    <m/>
    <x v="6"/>
    <m/>
    <m/>
    <m/>
  </r>
  <r>
    <n v="153"/>
    <x v="11"/>
    <s v="Male"/>
    <x v="3"/>
    <x v="3"/>
    <n v="47472"/>
    <n v="1"/>
    <n v="3"/>
    <s v="No"/>
    <s v="No"/>
    <s v="Finance"/>
    <x v="8"/>
    <m/>
    <m/>
    <m/>
    <x v="6"/>
    <m/>
    <m/>
    <m/>
  </r>
  <r>
    <n v="154"/>
    <x v="33"/>
    <s v="Female"/>
    <x v="2"/>
    <x v="3"/>
    <n v="103984"/>
    <n v="10"/>
    <n v="1"/>
    <s v="No"/>
    <s v="Yes"/>
    <s v="HR"/>
    <x v="8"/>
    <m/>
    <m/>
    <m/>
    <x v="6"/>
    <m/>
    <m/>
    <m/>
  </r>
  <r>
    <n v="155"/>
    <x v="6"/>
    <s v="Male"/>
    <x v="3"/>
    <x v="3"/>
    <n v="48029"/>
    <n v="9"/>
    <n v="4"/>
    <s v="No"/>
    <s v="Yes"/>
    <s v="Technical"/>
    <x v="8"/>
    <m/>
    <m/>
    <m/>
    <x v="6"/>
    <m/>
    <m/>
    <m/>
  </r>
  <r>
    <n v="156"/>
    <x v="7"/>
    <s v="Female"/>
    <x v="4"/>
    <x v="5"/>
    <n v="55577"/>
    <n v="2"/>
    <n v="1"/>
    <s v="No"/>
    <s v="No"/>
    <s v="Finance"/>
    <x v="8"/>
    <m/>
    <m/>
    <m/>
    <x v="6"/>
    <m/>
    <m/>
    <m/>
  </r>
  <r>
    <n v="157"/>
    <x v="24"/>
    <s v="Male"/>
    <x v="3"/>
    <x v="2"/>
    <n v="17389"/>
    <n v="11"/>
    <n v="2"/>
    <s v="No"/>
    <s v="No"/>
    <s v="Technical"/>
    <x v="8"/>
    <m/>
    <m/>
    <m/>
    <x v="6"/>
    <m/>
    <m/>
    <m/>
  </r>
  <r>
    <n v="158"/>
    <x v="25"/>
    <s v="Male"/>
    <x v="1"/>
    <x v="4"/>
    <n v="25114"/>
    <n v="4"/>
    <n v="1"/>
    <s v="No"/>
    <s v="No"/>
    <s v="Marketing"/>
    <x v="8"/>
    <m/>
    <m/>
    <m/>
    <x v="6"/>
    <m/>
    <m/>
    <m/>
  </r>
  <r>
    <n v="159"/>
    <x v="25"/>
    <s v="Male"/>
    <x v="0"/>
    <x v="2"/>
    <n v="64377"/>
    <n v="19"/>
    <n v="1"/>
    <s v="Yes"/>
    <s v="Yes"/>
    <s v="Finance"/>
    <x v="8"/>
    <m/>
    <m/>
    <m/>
    <x v="6"/>
    <m/>
    <m/>
    <m/>
  </r>
  <r>
    <n v="160"/>
    <x v="5"/>
    <s v="Female"/>
    <x v="4"/>
    <x v="4"/>
    <n v="73222"/>
    <n v="7"/>
    <n v="2"/>
    <s v="No"/>
    <s v="No"/>
    <s v="Marketing"/>
    <x v="8"/>
    <m/>
    <m/>
    <m/>
    <x v="6"/>
    <m/>
    <m/>
    <m/>
  </r>
  <r>
    <n v="161"/>
    <x v="35"/>
    <s v="Female"/>
    <x v="5"/>
    <x v="4"/>
    <n v="63213"/>
    <n v="6"/>
    <n v="4"/>
    <s v="No"/>
    <s v="No"/>
    <s v="Technical"/>
    <x v="8"/>
    <m/>
    <m/>
    <m/>
    <x v="6"/>
    <m/>
    <m/>
    <m/>
  </r>
  <r>
    <n v="162"/>
    <x v="19"/>
    <s v="Female"/>
    <x v="3"/>
    <x v="4"/>
    <n v="33140"/>
    <n v="19"/>
    <n v="1"/>
    <s v="Yes"/>
    <s v="No"/>
    <s v="HR"/>
    <x v="8"/>
    <m/>
    <m/>
    <m/>
    <x v="6"/>
    <m/>
    <m/>
    <m/>
  </r>
  <r>
    <n v="163"/>
    <x v="0"/>
    <s v="Male"/>
    <x v="5"/>
    <x v="0"/>
    <n v="25993"/>
    <n v="9"/>
    <n v="2"/>
    <s v="No"/>
    <s v="Yes"/>
    <s v="Finance"/>
    <x v="8"/>
    <m/>
    <m/>
    <m/>
    <x v="6"/>
    <m/>
    <m/>
    <m/>
  </r>
  <r>
    <n v="164"/>
    <x v="26"/>
    <s v="Female"/>
    <x v="4"/>
    <x v="2"/>
    <n v="69381"/>
    <n v="0"/>
    <n v="1"/>
    <s v="Yes"/>
    <s v="Yes"/>
    <s v="Marketing"/>
    <x v="8"/>
    <m/>
    <m/>
    <m/>
    <x v="6"/>
    <m/>
    <m/>
    <m/>
  </r>
  <r>
    <n v="165"/>
    <x v="15"/>
    <s v="Female"/>
    <x v="4"/>
    <x v="1"/>
    <n v="56770"/>
    <n v="0"/>
    <n v="1"/>
    <s v="No"/>
    <s v="Yes"/>
    <s v="Marketing"/>
    <x v="8"/>
    <m/>
    <m/>
    <m/>
    <x v="6"/>
    <m/>
    <m/>
    <m/>
  </r>
  <r>
    <n v="166"/>
    <x v="35"/>
    <s v="Male"/>
    <x v="2"/>
    <x v="0"/>
    <n v="114462"/>
    <n v="4"/>
    <n v="3"/>
    <s v="No"/>
    <s v="No"/>
    <s v="Technical"/>
    <x v="8"/>
    <m/>
    <m/>
    <m/>
    <x v="6"/>
    <m/>
    <m/>
    <m/>
  </r>
  <r>
    <n v="167"/>
    <x v="3"/>
    <s v="Female"/>
    <x v="4"/>
    <x v="3"/>
    <n v="110320"/>
    <n v="17"/>
    <n v="1"/>
    <s v="Yes"/>
    <s v="No"/>
    <s v="Life Sciences"/>
    <x v="8"/>
    <m/>
    <m/>
    <m/>
    <x v="6"/>
    <m/>
    <m/>
    <m/>
  </r>
  <r>
    <n v="168"/>
    <x v="13"/>
    <s v="Female"/>
    <x v="1"/>
    <x v="4"/>
    <n v="98748"/>
    <n v="13"/>
    <n v="1"/>
    <s v="Yes"/>
    <s v="No"/>
    <s v="HR"/>
    <x v="8"/>
    <m/>
    <m/>
    <m/>
    <x v="6"/>
    <m/>
    <m/>
    <m/>
  </r>
  <r>
    <n v="169"/>
    <x v="22"/>
    <s v="Male"/>
    <x v="1"/>
    <x v="3"/>
    <n v="109181"/>
    <n v="7"/>
    <n v="2"/>
    <s v="No"/>
    <s v="Yes"/>
    <s v="HR"/>
    <x v="8"/>
    <m/>
    <m/>
    <m/>
    <x v="6"/>
    <m/>
    <m/>
    <m/>
  </r>
  <r>
    <n v="170"/>
    <x v="33"/>
    <s v="Female"/>
    <x v="2"/>
    <x v="4"/>
    <n v="102080"/>
    <n v="5"/>
    <n v="1"/>
    <s v="No"/>
    <s v="Yes"/>
    <s v="Finance"/>
    <x v="8"/>
    <m/>
    <m/>
    <m/>
    <x v="6"/>
    <m/>
    <m/>
    <m/>
  </r>
  <r>
    <n v="171"/>
    <x v="35"/>
    <s v="Female"/>
    <x v="0"/>
    <x v="0"/>
    <n v="98318"/>
    <n v="1"/>
    <n v="3"/>
    <s v="No"/>
    <s v="No"/>
    <s v="Life Sciences"/>
    <x v="8"/>
    <m/>
    <m/>
    <m/>
    <x v="6"/>
    <m/>
    <m/>
    <m/>
  </r>
  <r>
    <n v="172"/>
    <x v="26"/>
    <s v="Female"/>
    <x v="4"/>
    <x v="0"/>
    <n v="111068"/>
    <n v="7"/>
    <n v="3"/>
    <s v="No"/>
    <s v="Yes"/>
    <s v="HR"/>
    <x v="8"/>
    <m/>
    <m/>
    <m/>
    <x v="6"/>
    <m/>
    <m/>
    <m/>
  </r>
  <r>
    <n v="173"/>
    <x v="28"/>
    <s v="Female"/>
    <x v="0"/>
    <x v="1"/>
    <n v="37949"/>
    <n v="20"/>
    <n v="2"/>
    <s v="No"/>
    <s v="No"/>
    <s v="Life Sciences"/>
    <x v="8"/>
    <m/>
    <m/>
    <m/>
    <x v="6"/>
    <m/>
    <m/>
    <m/>
  </r>
  <r>
    <n v="174"/>
    <x v="29"/>
    <s v="Male"/>
    <x v="2"/>
    <x v="3"/>
    <n v="53462"/>
    <n v="1"/>
    <n v="3"/>
    <s v="Yes"/>
    <s v="Yes"/>
    <s v="HR"/>
    <x v="8"/>
    <m/>
    <m/>
    <m/>
    <x v="6"/>
    <m/>
    <m/>
    <m/>
  </r>
  <r>
    <n v="175"/>
    <x v="21"/>
    <s v="Male"/>
    <x v="3"/>
    <x v="3"/>
    <n v="77049"/>
    <n v="17"/>
    <n v="1"/>
    <s v="Yes"/>
    <s v="No"/>
    <s v="Marketing"/>
    <x v="8"/>
    <m/>
    <m/>
    <m/>
    <x v="6"/>
    <m/>
    <m/>
    <m/>
  </r>
  <r>
    <n v="176"/>
    <x v="10"/>
    <s v="Female"/>
    <x v="0"/>
    <x v="2"/>
    <n v="119771"/>
    <n v="3"/>
    <n v="4"/>
    <s v="No"/>
    <s v="No"/>
    <s v="Marketing"/>
    <x v="8"/>
    <m/>
    <m/>
    <m/>
    <x v="6"/>
    <m/>
    <m/>
    <m/>
  </r>
  <r>
    <n v="177"/>
    <x v="11"/>
    <s v="Female"/>
    <x v="2"/>
    <x v="5"/>
    <n v="105710"/>
    <n v="15"/>
    <n v="4"/>
    <s v="No"/>
    <s v="No"/>
    <s v="Life Sciences"/>
    <x v="8"/>
    <m/>
    <m/>
    <m/>
    <x v="6"/>
    <m/>
    <m/>
    <m/>
  </r>
  <r>
    <n v="178"/>
    <x v="1"/>
    <s v="Male"/>
    <x v="3"/>
    <x v="5"/>
    <n v="38652"/>
    <n v="19"/>
    <n v="3"/>
    <s v="No"/>
    <s v="No"/>
    <s v="Marketing"/>
    <x v="8"/>
    <m/>
    <m/>
    <m/>
    <x v="6"/>
    <m/>
    <m/>
    <m/>
  </r>
  <r>
    <n v="179"/>
    <x v="2"/>
    <s v="Female"/>
    <x v="3"/>
    <x v="2"/>
    <n v="109065"/>
    <n v="19"/>
    <n v="1"/>
    <s v="Yes"/>
    <s v="No"/>
    <s v="Marketing"/>
    <x v="8"/>
    <m/>
    <m/>
    <m/>
    <x v="6"/>
    <m/>
    <m/>
    <m/>
  </r>
  <r>
    <n v="180"/>
    <x v="1"/>
    <s v="Female"/>
    <x v="3"/>
    <x v="4"/>
    <n v="98816"/>
    <n v="8"/>
    <n v="2"/>
    <s v="Yes"/>
    <s v="Yes"/>
    <s v="Life Sciences"/>
    <x v="8"/>
    <m/>
    <m/>
    <m/>
    <x v="6"/>
    <m/>
    <m/>
    <m/>
  </r>
  <r>
    <n v="181"/>
    <x v="3"/>
    <s v="Male"/>
    <x v="4"/>
    <x v="5"/>
    <n v="103878"/>
    <n v="19"/>
    <n v="3"/>
    <s v="Yes"/>
    <s v="No"/>
    <s v="Marketing"/>
    <x v="8"/>
    <m/>
    <m/>
    <m/>
    <x v="6"/>
    <m/>
    <m/>
    <m/>
  </r>
  <r>
    <n v="182"/>
    <x v="6"/>
    <s v="Female"/>
    <x v="3"/>
    <x v="2"/>
    <n v="19244"/>
    <n v="18"/>
    <n v="1"/>
    <s v="No"/>
    <s v="Yes"/>
    <s v="HR"/>
    <x v="8"/>
    <m/>
    <m/>
    <m/>
    <x v="6"/>
    <m/>
    <m/>
    <m/>
  </r>
  <r>
    <n v="183"/>
    <x v="25"/>
    <s v="Female"/>
    <x v="4"/>
    <x v="0"/>
    <n v="63096"/>
    <n v="16"/>
    <n v="1"/>
    <s v="No"/>
    <s v="No"/>
    <s v="Technical"/>
    <x v="8"/>
    <m/>
    <m/>
    <m/>
    <x v="6"/>
    <m/>
    <m/>
    <m/>
  </r>
  <r>
    <n v="184"/>
    <x v="9"/>
    <s v="Female"/>
    <x v="0"/>
    <x v="2"/>
    <n v="65723"/>
    <n v="16"/>
    <n v="2"/>
    <s v="No"/>
    <s v="Yes"/>
    <s v="HR"/>
    <x v="8"/>
    <m/>
    <m/>
    <m/>
    <x v="6"/>
    <m/>
    <m/>
    <m/>
  </r>
  <r>
    <n v="185"/>
    <x v="37"/>
    <s v="Male"/>
    <x v="5"/>
    <x v="1"/>
    <n v="41237"/>
    <n v="15"/>
    <n v="4"/>
    <s v="Yes"/>
    <s v="Yes"/>
    <s v="Life Sciences"/>
    <x v="8"/>
    <m/>
    <m/>
    <m/>
    <x v="6"/>
    <m/>
    <m/>
    <m/>
  </r>
  <r>
    <n v="186"/>
    <x v="27"/>
    <s v="Female"/>
    <x v="3"/>
    <x v="1"/>
    <n v="108000"/>
    <n v="11"/>
    <n v="2"/>
    <s v="No"/>
    <s v="Yes"/>
    <s v="Marketing"/>
    <x v="8"/>
    <m/>
    <m/>
    <m/>
    <x v="6"/>
    <m/>
    <m/>
    <m/>
  </r>
  <r>
    <n v="187"/>
    <x v="24"/>
    <s v="Male"/>
    <x v="5"/>
    <x v="0"/>
    <n v="30907"/>
    <n v="7"/>
    <n v="3"/>
    <s v="No"/>
    <s v="Yes"/>
    <s v="HR"/>
    <x v="8"/>
    <m/>
    <m/>
    <m/>
    <x v="6"/>
    <m/>
    <m/>
    <m/>
  </r>
  <r>
    <n v="188"/>
    <x v="22"/>
    <s v="Male"/>
    <x v="2"/>
    <x v="3"/>
    <n v="76263"/>
    <n v="11"/>
    <n v="4"/>
    <s v="No"/>
    <s v="Yes"/>
    <s v="Finance"/>
    <x v="8"/>
    <m/>
    <m/>
    <m/>
    <x v="6"/>
    <m/>
    <m/>
    <m/>
  </r>
  <r>
    <n v="189"/>
    <x v="12"/>
    <s v="Male"/>
    <x v="4"/>
    <x v="3"/>
    <n v="115815"/>
    <n v="13"/>
    <n v="1"/>
    <s v="No"/>
    <s v="No"/>
    <s v="Finance"/>
    <x v="8"/>
    <m/>
    <m/>
    <m/>
    <x v="6"/>
    <m/>
    <m/>
    <m/>
  </r>
  <r>
    <n v="190"/>
    <x v="29"/>
    <s v="Male"/>
    <x v="4"/>
    <x v="2"/>
    <n v="60156"/>
    <n v="16"/>
    <n v="1"/>
    <s v="No"/>
    <s v="Yes"/>
    <s v="Life Sciences"/>
    <x v="8"/>
    <m/>
    <m/>
    <m/>
    <x v="6"/>
    <m/>
    <m/>
    <m/>
  </r>
  <r>
    <n v="191"/>
    <x v="12"/>
    <s v="Male"/>
    <x v="3"/>
    <x v="4"/>
    <n v="54862"/>
    <n v="4"/>
    <n v="3"/>
    <s v="Yes"/>
    <s v="Yes"/>
    <s v="Life Sciences"/>
    <x v="8"/>
    <m/>
    <m/>
    <m/>
    <x v="6"/>
    <m/>
    <m/>
    <m/>
  </r>
  <r>
    <n v="192"/>
    <x v="4"/>
    <s v="Female"/>
    <x v="1"/>
    <x v="4"/>
    <n v="98238"/>
    <n v="6"/>
    <n v="1"/>
    <s v="Yes"/>
    <s v="No"/>
    <s v="HR"/>
    <x v="8"/>
    <m/>
    <m/>
    <m/>
    <x v="6"/>
    <m/>
    <m/>
    <m/>
  </r>
  <r>
    <n v="193"/>
    <x v="18"/>
    <s v="Female"/>
    <x v="1"/>
    <x v="0"/>
    <n v="91106"/>
    <n v="18"/>
    <n v="1"/>
    <s v="Yes"/>
    <s v="Yes"/>
    <s v="Life Sciences"/>
    <x v="8"/>
    <m/>
    <m/>
    <m/>
    <x v="6"/>
    <m/>
    <m/>
    <m/>
  </r>
  <r>
    <n v="194"/>
    <x v="32"/>
    <s v="Female"/>
    <x v="1"/>
    <x v="5"/>
    <n v="116059"/>
    <n v="20"/>
    <n v="1"/>
    <s v="No"/>
    <s v="No"/>
    <s v="Finance"/>
    <x v="8"/>
    <m/>
    <m/>
    <m/>
    <x v="6"/>
    <m/>
    <m/>
    <m/>
  </r>
  <r>
    <n v="195"/>
    <x v="17"/>
    <s v="Female"/>
    <x v="3"/>
    <x v="2"/>
    <n v="99136"/>
    <n v="9"/>
    <n v="1"/>
    <s v="No"/>
    <s v="No"/>
    <s v="Life Sciences"/>
    <x v="8"/>
    <m/>
    <m/>
    <m/>
    <x v="6"/>
    <m/>
    <m/>
    <m/>
  </r>
  <r>
    <n v="196"/>
    <x v="18"/>
    <s v="Female"/>
    <x v="1"/>
    <x v="1"/>
    <n v="69476"/>
    <n v="14"/>
    <n v="3"/>
    <s v="No"/>
    <s v="No"/>
    <s v="Marketing"/>
    <x v="8"/>
    <m/>
    <m/>
    <m/>
    <x v="6"/>
    <m/>
    <m/>
    <m/>
  </r>
  <r>
    <n v="197"/>
    <x v="26"/>
    <s v="Male"/>
    <x v="3"/>
    <x v="1"/>
    <n v="32139"/>
    <n v="12"/>
    <n v="4"/>
    <s v="No"/>
    <s v="No"/>
    <s v="Life Sciences"/>
    <x v="8"/>
    <m/>
    <m/>
    <m/>
    <x v="6"/>
    <m/>
    <m/>
    <m/>
  </r>
  <r>
    <n v="198"/>
    <x v="10"/>
    <s v="Female"/>
    <x v="5"/>
    <x v="4"/>
    <n v="47495"/>
    <n v="14"/>
    <n v="4"/>
    <s v="Yes"/>
    <s v="Yes"/>
    <s v="Technical"/>
    <x v="8"/>
    <m/>
    <m/>
    <m/>
    <x v="6"/>
    <m/>
    <m/>
    <m/>
  </r>
  <r>
    <n v="199"/>
    <x v="18"/>
    <s v="Male"/>
    <x v="5"/>
    <x v="4"/>
    <n v="90718"/>
    <n v="10"/>
    <n v="4"/>
    <s v="Yes"/>
    <s v="No"/>
    <s v="Finance"/>
    <x v="8"/>
    <m/>
    <m/>
    <m/>
    <x v="6"/>
    <m/>
    <m/>
    <m/>
  </r>
  <r>
    <n v="200"/>
    <x v="23"/>
    <s v="Female"/>
    <x v="4"/>
    <x v="1"/>
    <n v="18037"/>
    <n v="15"/>
    <n v="3"/>
    <s v="No"/>
    <s v="Yes"/>
    <s v="Life Sciences"/>
    <x v="8"/>
    <m/>
    <m/>
    <m/>
    <x v="6"/>
    <m/>
    <m/>
    <m/>
  </r>
  <r>
    <n v="201"/>
    <x v="8"/>
    <s v="Male"/>
    <x v="2"/>
    <x v="2"/>
    <n v="79866"/>
    <n v="9"/>
    <n v="2"/>
    <s v="No"/>
    <s v="No"/>
    <s v="Marketing"/>
    <x v="8"/>
    <m/>
    <m/>
    <m/>
    <x v="6"/>
    <m/>
    <m/>
    <m/>
  </r>
  <r>
    <n v="202"/>
    <x v="5"/>
    <s v="Male"/>
    <x v="3"/>
    <x v="4"/>
    <n v="62964"/>
    <n v="12"/>
    <n v="3"/>
    <s v="No"/>
    <s v="Yes"/>
    <s v="Life Sciences"/>
    <x v="8"/>
    <m/>
    <m/>
    <m/>
    <x v="6"/>
    <m/>
    <m/>
    <m/>
  </r>
  <r>
    <n v="203"/>
    <x v="6"/>
    <s v="Male"/>
    <x v="4"/>
    <x v="0"/>
    <n v="74028"/>
    <n v="16"/>
    <n v="4"/>
    <s v="No"/>
    <s v="No"/>
    <s v="Marketing"/>
    <x v="8"/>
    <m/>
    <m/>
    <m/>
    <x v="6"/>
    <m/>
    <m/>
    <m/>
  </r>
  <r>
    <n v="204"/>
    <x v="28"/>
    <s v="Female"/>
    <x v="1"/>
    <x v="0"/>
    <n v="62920"/>
    <n v="17"/>
    <n v="1"/>
    <s v="Yes"/>
    <s v="Yes"/>
    <s v="Life Sciences"/>
    <x v="8"/>
    <m/>
    <m/>
    <m/>
    <x v="6"/>
    <m/>
    <m/>
    <m/>
  </r>
  <r>
    <n v="205"/>
    <x v="25"/>
    <s v="Male"/>
    <x v="3"/>
    <x v="4"/>
    <n v="77094"/>
    <n v="10"/>
    <n v="3"/>
    <s v="Yes"/>
    <s v="No"/>
    <s v="Technical"/>
    <x v="8"/>
    <m/>
    <m/>
    <m/>
    <x v="6"/>
    <m/>
    <m/>
    <m/>
  </r>
  <r>
    <n v="206"/>
    <x v="21"/>
    <s v="Female"/>
    <x v="0"/>
    <x v="4"/>
    <n v="111904"/>
    <n v="19"/>
    <n v="3"/>
    <s v="No"/>
    <s v="No"/>
    <s v="Finance"/>
    <x v="8"/>
    <m/>
    <m/>
    <m/>
    <x v="6"/>
    <m/>
    <m/>
    <m/>
  </r>
  <r>
    <n v="207"/>
    <x v="30"/>
    <s v="Female"/>
    <x v="0"/>
    <x v="5"/>
    <n v="58416"/>
    <n v="11"/>
    <n v="1"/>
    <s v="No"/>
    <s v="Yes"/>
    <s v="HR"/>
    <x v="8"/>
    <m/>
    <m/>
    <m/>
    <x v="6"/>
    <m/>
    <m/>
    <m/>
  </r>
  <r>
    <n v="208"/>
    <x v="35"/>
    <s v="Female"/>
    <x v="4"/>
    <x v="4"/>
    <n v="100929"/>
    <n v="8"/>
    <n v="4"/>
    <s v="No"/>
    <s v="Yes"/>
    <s v="Technical"/>
    <x v="8"/>
    <m/>
    <m/>
    <m/>
    <x v="6"/>
    <m/>
    <m/>
    <m/>
  </r>
  <r>
    <n v="209"/>
    <x v="13"/>
    <s v="Female"/>
    <x v="3"/>
    <x v="2"/>
    <n v="90047"/>
    <n v="1"/>
    <n v="2"/>
    <s v="Yes"/>
    <s v="Yes"/>
    <s v="Finance"/>
    <x v="8"/>
    <m/>
    <m/>
    <m/>
    <x v="6"/>
    <m/>
    <m/>
    <m/>
  </r>
  <r>
    <n v="210"/>
    <x v="31"/>
    <s v="Male"/>
    <x v="0"/>
    <x v="1"/>
    <n v="80774"/>
    <n v="13"/>
    <n v="2"/>
    <s v="No"/>
    <s v="No"/>
    <s v="HR"/>
    <x v="8"/>
    <m/>
    <m/>
    <m/>
    <x v="6"/>
    <m/>
    <m/>
    <m/>
  </r>
  <r>
    <n v="211"/>
    <x v="27"/>
    <s v="Male"/>
    <x v="5"/>
    <x v="4"/>
    <n v="83875"/>
    <n v="15"/>
    <n v="3"/>
    <s v="No"/>
    <s v="No"/>
    <s v="HR"/>
    <x v="8"/>
    <m/>
    <m/>
    <m/>
    <x v="6"/>
    <m/>
    <m/>
    <m/>
  </r>
  <r>
    <n v="212"/>
    <x v="26"/>
    <s v="Male"/>
    <x v="4"/>
    <x v="3"/>
    <n v="105873"/>
    <n v="20"/>
    <n v="3"/>
    <s v="No"/>
    <s v="No"/>
    <s v="Technical"/>
    <x v="8"/>
    <m/>
    <m/>
    <m/>
    <x v="6"/>
    <m/>
    <m/>
    <m/>
  </r>
  <r>
    <n v="213"/>
    <x v="23"/>
    <s v="Female"/>
    <x v="3"/>
    <x v="2"/>
    <n v="107392"/>
    <n v="9"/>
    <n v="3"/>
    <s v="No"/>
    <s v="Yes"/>
    <s v="HR"/>
    <x v="8"/>
    <m/>
    <m/>
    <m/>
    <x v="6"/>
    <m/>
    <m/>
    <m/>
  </r>
  <r>
    <n v="214"/>
    <x v="10"/>
    <s v="Female"/>
    <x v="3"/>
    <x v="1"/>
    <n v="30974"/>
    <n v="9"/>
    <n v="3"/>
    <s v="No"/>
    <s v="No"/>
    <s v="Life Sciences"/>
    <x v="8"/>
    <m/>
    <m/>
    <m/>
    <x v="6"/>
    <m/>
    <m/>
    <m/>
  </r>
  <r>
    <n v="215"/>
    <x v="37"/>
    <s v="Female"/>
    <x v="4"/>
    <x v="1"/>
    <n v="60398"/>
    <n v="2"/>
    <n v="3"/>
    <s v="No"/>
    <s v="No"/>
    <s v="HR"/>
    <x v="8"/>
    <m/>
    <m/>
    <m/>
    <x v="6"/>
    <m/>
    <m/>
    <m/>
  </r>
  <r>
    <n v="216"/>
    <x v="10"/>
    <s v="Male"/>
    <x v="0"/>
    <x v="1"/>
    <n v="29316"/>
    <n v="4"/>
    <n v="1"/>
    <s v="Yes"/>
    <s v="Yes"/>
    <s v="Life Sciences"/>
    <x v="8"/>
    <m/>
    <m/>
    <m/>
    <x v="6"/>
    <m/>
    <m/>
    <m/>
  </r>
  <r>
    <n v="217"/>
    <x v="33"/>
    <s v="Male"/>
    <x v="2"/>
    <x v="4"/>
    <n v="109025"/>
    <n v="10"/>
    <n v="2"/>
    <s v="Yes"/>
    <s v="No"/>
    <s v="Finance"/>
    <x v="8"/>
    <m/>
    <m/>
    <m/>
    <x v="6"/>
    <m/>
    <m/>
    <m/>
  </r>
  <r>
    <n v="218"/>
    <x v="35"/>
    <s v="Female"/>
    <x v="3"/>
    <x v="3"/>
    <n v="100267"/>
    <n v="15"/>
    <n v="1"/>
    <s v="No"/>
    <s v="Yes"/>
    <s v="Life Sciences"/>
    <x v="8"/>
    <m/>
    <m/>
    <m/>
    <x v="6"/>
    <m/>
    <m/>
    <m/>
  </r>
  <r>
    <n v="219"/>
    <x v="22"/>
    <s v="Male"/>
    <x v="5"/>
    <x v="1"/>
    <n v="85143"/>
    <n v="7"/>
    <n v="1"/>
    <s v="No"/>
    <s v="Yes"/>
    <s v="Finance"/>
    <x v="8"/>
    <m/>
    <m/>
    <m/>
    <x v="6"/>
    <m/>
    <m/>
    <m/>
  </r>
  <r>
    <n v="220"/>
    <x v="9"/>
    <s v="Male"/>
    <x v="3"/>
    <x v="4"/>
    <n v="113173"/>
    <n v="5"/>
    <n v="1"/>
    <s v="No"/>
    <s v="No"/>
    <s v="Marketing"/>
    <x v="8"/>
    <m/>
    <m/>
    <m/>
    <x v="6"/>
    <m/>
    <m/>
    <m/>
  </r>
  <r>
    <n v="221"/>
    <x v="37"/>
    <s v="Male"/>
    <x v="1"/>
    <x v="2"/>
    <n v="99058"/>
    <n v="14"/>
    <n v="3"/>
    <s v="No"/>
    <s v="No"/>
    <s v="Technical"/>
    <x v="8"/>
    <m/>
    <m/>
    <m/>
    <x v="6"/>
    <m/>
    <m/>
    <m/>
  </r>
  <r>
    <n v="222"/>
    <x v="0"/>
    <s v="Male"/>
    <x v="2"/>
    <x v="5"/>
    <n v="36298"/>
    <n v="10"/>
    <n v="3"/>
    <s v="No"/>
    <s v="No"/>
    <s v="Marketing"/>
    <x v="8"/>
    <m/>
    <m/>
    <m/>
    <x v="6"/>
    <m/>
    <m/>
    <m/>
  </r>
  <r>
    <n v="223"/>
    <x v="22"/>
    <s v="Female"/>
    <x v="2"/>
    <x v="2"/>
    <n v="38002"/>
    <n v="6"/>
    <n v="1"/>
    <s v="No"/>
    <s v="No"/>
    <s v="Technical"/>
    <x v="8"/>
    <m/>
    <m/>
    <m/>
    <x v="6"/>
    <m/>
    <m/>
    <m/>
  </r>
  <r>
    <n v="224"/>
    <x v="25"/>
    <s v="Female"/>
    <x v="4"/>
    <x v="2"/>
    <n v="57415"/>
    <n v="15"/>
    <n v="3"/>
    <s v="Yes"/>
    <s v="Yes"/>
    <s v="Marketing"/>
    <x v="8"/>
    <m/>
    <m/>
    <m/>
    <x v="6"/>
    <m/>
    <m/>
    <m/>
  </r>
  <r>
    <n v="225"/>
    <x v="23"/>
    <s v="Female"/>
    <x v="0"/>
    <x v="1"/>
    <n v="109749"/>
    <n v="18"/>
    <n v="1"/>
    <s v="No"/>
    <s v="Yes"/>
    <s v="Life Sciences"/>
    <x v="8"/>
    <m/>
    <m/>
    <m/>
    <x v="6"/>
    <m/>
    <m/>
    <m/>
  </r>
  <r>
    <n v="226"/>
    <x v="29"/>
    <s v="Female"/>
    <x v="0"/>
    <x v="0"/>
    <n v="35934"/>
    <n v="9"/>
    <n v="3"/>
    <s v="No"/>
    <s v="No"/>
    <s v="Marketing"/>
    <x v="8"/>
    <m/>
    <m/>
    <m/>
    <x v="6"/>
    <m/>
    <m/>
    <m/>
  </r>
  <r>
    <n v="227"/>
    <x v="15"/>
    <s v="Female"/>
    <x v="5"/>
    <x v="5"/>
    <n v="32507"/>
    <n v="7"/>
    <n v="4"/>
    <s v="Yes"/>
    <s v="No"/>
    <s v="HR"/>
    <x v="8"/>
    <m/>
    <m/>
    <m/>
    <x v="6"/>
    <m/>
    <m/>
    <m/>
  </r>
  <r>
    <n v="228"/>
    <x v="31"/>
    <s v="Female"/>
    <x v="2"/>
    <x v="4"/>
    <n v="104173"/>
    <n v="7"/>
    <n v="1"/>
    <s v="No"/>
    <s v="Yes"/>
    <s v="Life Sciences"/>
    <x v="8"/>
    <m/>
    <m/>
    <m/>
    <x v="6"/>
    <m/>
    <m/>
    <m/>
  </r>
  <r>
    <n v="229"/>
    <x v="14"/>
    <s v="Female"/>
    <x v="2"/>
    <x v="5"/>
    <n v="41497"/>
    <n v="16"/>
    <n v="2"/>
    <s v="Yes"/>
    <s v="Yes"/>
    <s v="HR"/>
    <x v="8"/>
    <m/>
    <m/>
    <m/>
    <x v="6"/>
    <m/>
    <m/>
    <m/>
  </r>
  <r>
    <n v="230"/>
    <x v="9"/>
    <s v="Female"/>
    <x v="4"/>
    <x v="4"/>
    <n v="81895"/>
    <n v="2"/>
    <n v="4"/>
    <s v="No"/>
    <s v="No"/>
    <s v="Finance"/>
    <x v="8"/>
    <m/>
    <m/>
    <m/>
    <x v="6"/>
    <m/>
    <m/>
    <m/>
  </r>
  <r>
    <n v="231"/>
    <x v="22"/>
    <s v="Female"/>
    <x v="0"/>
    <x v="0"/>
    <n v="88242"/>
    <n v="1"/>
    <n v="4"/>
    <s v="No"/>
    <s v="No"/>
    <s v="Marketing"/>
    <x v="8"/>
    <m/>
    <m/>
    <m/>
    <x v="6"/>
    <m/>
    <m/>
    <m/>
  </r>
  <r>
    <n v="232"/>
    <x v="34"/>
    <s v="Female"/>
    <x v="0"/>
    <x v="0"/>
    <n v="90800"/>
    <n v="6"/>
    <n v="1"/>
    <s v="Yes"/>
    <s v="Yes"/>
    <s v="Life Sciences"/>
    <x v="8"/>
    <m/>
    <m/>
    <m/>
    <x v="6"/>
    <m/>
    <m/>
    <m/>
  </r>
  <r>
    <n v="233"/>
    <x v="35"/>
    <s v="Male"/>
    <x v="0"/>
    <x v="5"/>
    <n v="52629"/>
    <n v="1"/>
    <n v="4"/>
    <s v="Yes"/>
    <s v="No"/>
    <s v="Marketing"/>
    <x v="8"/>
    <m/>
    <m/>
    <m/>
    <x v="6"/>
    <m/>
    <m/>
    <m/>
  </r>
  <r>
    <n v="234"/>
    <x v="6"/>
    <s v="Male"/>
    <x v="0"/>
    <x v="3"/>
    <n v="64479"/>
    <n v="14"/>
    <n v="1"/>
    <s v="Yes"/>
    <s v="No"/>
    <s v="Technical"/>
    <x v="8"/>
    <m/>
    <m/>
    <m/>
    <x v="6"/>
    <m/>
    <m/>
    <m/>
  </r>
  <r>
    <n v="235"/>
    <x v="17"/>
    <s v="Male"/>
    <x v="2"/>
    <x v="0"/>
    <n v="84316"/>
    <n v="12"/>
    <n v="3"/>
    <s v="No"/>
    <s v="Yes"/>
    <s v="Finance"/>
    <x v="8"/>
    <m/>
    <m/>
    <m/>
    <x v="6"/>
    <m/>
    <m/>
    <m/>
  </r>
  <r>
    <n v="236"/>
    <x v="17"/>
    <s v="Male"/>
    <x v="5"/>
    <x v="3"/>
    <n v="84721"/>
    <n v="13"/>
    <n v="2"/>
    <s v="No"/>
    <s v="No"/>
    <s v="Marketing"/>
    <x v="8"/>
    <m/>
    <m/>
    <m/>
    <x v="6"/>
    <m/>
    <m/>
    <m/>
  </r>
  <r>
    <n v="237"/>
    <x v="19"/>
    <s v="Male"/>
    <x v="4"/>
    <x v="1"/>
    <n v="19222"/>
    <n v="3"/>
    <n v="1"/>
    <s v="No"/>
    <s v="No"/>
    <s v="Life Sciences"/>
    <x v="8"/>
    <m/>
    <m/>
    <m/>
    <x v="6"/>
    <m/>
    <m/>
    <m/>
  </r>
  <r>
    <n v="238"/>
    <x v="7"/>
    <s v="Male"/>
    <x v="5"/>
    <x v="2"/>
    <n v="73515"/>
    <n v="1"/>
    <n v="2"/>
    <s v="Yes"/>
    <s v="Yes"/>
    <s v="HR"/>
    <x v="8"/>
    <m/>
    <m/>
    <m/>
    <x v="6"/>
    <m/>
    <m/>
    <m/>
  </r>
  <r>
    <n v="239"/>
    <x v="31"/>
    <s v="Female"/>
    <x v="1"/>
    <x v="4"/>
    <n v="33367"/>
    <n v="1"/>
    <n v="3"/>
    <s v="Yes"/>
    <s v="No"/>
    <s v="Technical"/>
    <x v="8"/>
    <m/>
    <m/>
    <m/>
    <x v="6"/>
    <m/>
    <m/>
    <m/>
  </r>
  <r>
    <n v="240"/>
    <x v="23"/>
    <s v="Female"/>
    <x v="2"/>
    <x v="4"/>
    <n v="101535"/>
    <n v="4"/>
    <n v="2"/>
    <s v="No"/>
    <s v="Yes"/>
    <s v="Finance"/>
    <x v="8"/>
    <m/>
    <m/>
    <m/>
    <x v="6"/>
    <m/>
    <m/>
    <m/>
  </r>
  <r>
    <n v="241"/>
    <x v="14"/>
    <s v="Female"/>
    <x v="1"/>
    <x v="3"/>
    <n v="21145"/>
    <n v="15"/>
    <n v="4"/>
    <s v="No"/>
    <s v="No"/>
    <s v="Finance"/>
    <x v="8"/>
    <m/>
    <m/>
    <m/>
    <x v="6"/>
    <m/>
    <m/>
    <m/>
  </r>
  <r>
    <n v="242"/>
    <x v="3"/>
    <s v="Female"/>
    <x v="4"/>
    <x v="1"/>
    <n v="64343"/>
    <n v="9"/>
    <n v="3"/>
    <s v="No"/>
    <s v="Yes"/>
    <s v="Technical"/>
    <x v="8"/>
    <m/>
    <m/>
    <m/>
    <x v="6"/>
    <m/>
    <m/>
    <m/>
  </r>
  <r>
    <n v="243"/>
    <x v="29"/>
    <s v="Male"/>
    <x v="5"/>
    <x v="1"/>
    <n v="88713"/>
    <n v="1"/>
    <n v="3"/>
    <s v="No"/>
    <s v="No"/>
    <s v="Technical"/>
    <x v="8"/>
    <m/>
    <m/>
    <m/>
    <x v="6"/>
    <m/>
    <m/>
    <m/>
  </r>
  <r>
    <n v="244"/>
    <x v="28"/>
    <s v="Male"/>
    <x v="1"/>
    <x v="5"/>
    <n v="25363"/>
    <n v="20"/>
    <n v="2"/>
    <s v="No"/>
    <s v="No"/>
    <s v="Life Sciences"/>
    <x v="8"/>
    <m/>
    <m/>
    <m/>
    <x v="6"/>
    <m/>
    <m/>
    <m/>
  </r>
  <r>
    <n v="245"/>
    <x v="10"/>
    <s v="Male"/>
    <x v="1"/>
    <x v="5"/>
    <n v="103299"/>
    <n v="12"/>
    <n v="2"/>
    <s v="No"/>
    <s v="Yes"/>
    <s v="Finance"/>
    <x v="8"/>
    <m/>
    <m/>
    <m/>
    <x v="6"/>
    <m/>
    <m/>
    <m/>
  </r>
  <r>
    <n v="246"/>
    <x v="31"/>
    <s v="Male"/>
    <x v="0"/>
    <x v="0"/>
    <n v="54739"/>
    <n v="10"/>
    <n v="4"/>
    <s v="Yes"/>
    <s v="Yes"/>
    <s v="Technical"/>
    <x v="8"/>
    <m/>
    <m/>
    <m/>
    <x v="6"/>
    <m/>
    <m/>
    <m/>
  </r>
  <r>
    <n v="247"/>
    <x v="7"/>
    <s v="Female"/>
    <x v="5"/>
    <x v="2"/>
    <n v="66987"/>
    <n v="6"/>
    <n v="3"/>
    <s v="No"/>
    <s v="Yes"/>
    <s v="Marketing"/>
    <x v="8"/>
    <m/>
    <m/>
    <m/>
    <x v="6"/>
    <m/>
    <m/>
    <m/>
  </r>
  <r>
    <n v="248"/>
    <x v="4"/>
    <s v="Female"/>
    <x v="3"/>
    <x v="1"/>
    <n v="82215"/>
    <n v="11"/>
    <n v="3"/>
    <s v="No"/>
    <s v="No"/>
    <s v="Marketing"/>
    <x v="8"/>
    <m/>
    <m/>
    <m/>
    <x v="6"/>
    <m/>
    <m/>
    <m/>
  </r>
  <r>
    <n v="249"/>
    <x v="33"/>
    <s v="Male"/>
    <x v="3"/>
    <x v="4"/>
    <n v="88731"/>
    <n v="1"/>
    <n v="4"/>
    <s v="No"/>
    <s v="Yes"/>
    <s v="Marketing"/>
    <x v="8"/>
    <m/>
    <m/>
    <m/>
    <x v="6"/>
    <m/>
    <m/>
    <m/>
  </r>
  <r>
    <n v="250"/>
    <x v="3"/>
    <s v="Male"/>
    <x v="5"/>
    <x v="4"/>
    <n v="58236"/>
    <n v="6"/>
    <n v="3"/>
    <s v="No"/>
    <s v="Yes"/>
    <s v="Marketing"/>
    <x v="8"/>
    <m/>
    <m/>
    <m/>
    <x v="6"/>
    <m/>
    <m/>
    <m/>
  </r>
  <r>
    <n v="251"/>
    <x v="9"/>
    <s v="Female"/>
    <x v="4"/>
    <x v="1"/>
    <n v="111940"/>
    <n v="20"/>
    <n v="4"/>
    <s v="No"/>
    <s v="No"/>
    <s v="Technical"/>
    <x v="8"/>
    <m/>
    <m/>
    <m/>
    <x v="6"/>
    <m/>
    <m/>
    <m/>
  </r>
  <r>
    <n v="252"/>
    <x v="17"/>
    <s v="Male"/>
    <x v="0"/>
    <x v="0"/>
    <n v="22698"/>
    <n v="20"/>
    <n v="1"/>
    <s v="No"/>
    <s v="Yes"/>
    <s v="Finance"/>
    <x v="8"/>
    <m/>
    <m/>
    <m/>
    <x v="6"/>
    <m/>
    <m/>
    <m/>
  </r>
  <r>
    <n v="253"/>
    <x v="25"/>
    <s v="Male"/>
    <x v="4"/>
    <x v="4"/>
    <n v="45334"/>
    <n v="20"/>
    <n v="4"/>
    <s v="No"/>
    <s v="Yes"/>
    <s v="Marketing"/>
    <x v="8"/>
    <m/>
    <m/>
    <m/>
    <x v="6"/>
    <m/>
    <m/>
    <m/>
  </r>
  <r>
    <n v="254"/>
    <x v="8"/>
    <s v="Male"/>
    <x v="2"/>
    <x v="4"/>
    <n v="98588"/>
    <n v="19"/>
    <n v="4"/>
    <s v="No"/>
    <s v="No"/>
    <s v="Life Sciences"/>
    <x v="8"/>
    <m/>
    <m/>
    <m/>
    <x v="6"/>
    <m/>
    <m/>
    <m/>
  </r>
  <r>
    <n v="255"/>
    <x v="30"/>
    <s v="Female"/>
    <x v="2"/>
    <x v="4"/>
    <n v="109659"/>
    <n v="16"/>
    <n v="4"/>
    <s v="No"/>
    <s v="No"/>
    <s v="Technical"/>
    <x v="8"/>
    <m/>
    <m/>
    <m/>
    <x v="6"/>
    <m/>
    <m/>
    <m/>
  </r>
  <r>
    <n v="256"/>
    <x v="16"/>
    <s v="Female"/>
    <x v="3"/>
    <x v="3"/>
    <n v="83732"/>
    <n v="3"/>
    <n v="4"/>
    <s v="Yes"/>
    <s v="Yes"/>
    <s v="Life Sciences"/>
    <x v="8"/>
    <m/>
    <m/>
    <m/>
    <x v="6"/>
    <m/>
    <m/>
    <m/>
  </r>
  <r>
    <n v="257"/>
    <x v="5"/>
    <s v="Male"/>
    <x v="3"/>
    <x v="5"/>
    <n v="75161"/>
    <n v="12"/>
    <n v="1"/>
    <s v="No"/>
    <s v="Yes"/>
    <s v="Life Sciences"/>
    <x v="8"/>
    <m/>
    <m/>
    <m/>
    <x v="6"/>
    <m/>
    <m/>
    <m/>
  </r>
  <r>
    <n v="258"/>
    <x v="38"/>
    <s v="Male"/>
    <x v="0"/>
    <x v="0"/>
    <n v="64710"/>
    <n v="12"/>
    <n v="2"/>
    <s v="No"/>
    <s v="No"/>
    <s v="Life Sciences"/>
    <x v="8"/>
    <m/>
    <m/>
    <m/>
    <x v="6"/>
    <m/>
    <m/>
    <m/>
  </r>
  <r>
    <n v="259"/>
    <x v="9"/>
    <s v="Male"/>
    <x v="1"/>
    <x v="0"/>
    <n v="99529"/>
    <n v="13"/>
    <n v="2"/>
    <s v="No"/>
    <s v="No"/>
    <s v="Technical"/>
    <x v="8"/>
    <m/>
    <m/>
    <m/>
    <x v="6"/>
    <m/>
    <m/>
    <m/>
  </r>
  <r>
    <n v="260"/>
    <x v="22"/>
    <s v="Female"/>
    <x v="1"/>
    <x v="4"/>
    <n v="50532"/>
    <n v="15"/>
    <n v="1"/>
    <s v="No"/>
    <s v="Yes"/>
    <s v="Technical"/>
    <x v="8"/>
    <m/>
    <m/>
    <m/>
    <x v="6"/>
    <m/>
    <m/>
    <m/>
  </r>
  <r>
    <n v="261"/>
    <x v="27"/>
    <s v="Female"/>
    <x v="2"/>
    <x v="3"/>
    <n v="42152"/>
    <n v="0"/>
    <n v="2"/>
    <s v="No"/>
    <s v="Yes"/>
    <s v="HR"/>
    <x v="8"/>
    <m/>
    <m/>
    <m/>
    <x v="6"/>
    <m/>
    <m/>
    <m/>
  </r>
  <r>
    <n v="262"/>
    <x v="13"/>
    <s v="Male"/>
    <x v="0"/>
    <x v="5"/>
    <n v="66007"/>
    <n v="18"/>
    <n v="1"/>
    <s v="No"/>
    <s v="No"/>
    <s v="HR"/>
    <x v="8"/>
    <m/>
    <m/>
    <m/>
    <x v="6"/>
    <m/>
    <m/>
    <m/>
  </r>
  <r>
    <n v="263"/>
    <x v="26"/>
    <s v="Male"/>
    <x v="3"/>
    <x v="4"/>
    <n v="27803"/>
    <n v="1"/>
    <n v="4"/>
    <s v="Yes"/>
    <s v="No"/>
    <s v="Marketing"/>
    <x v="8"/>
    <m/>
    <m/>
    <m/>
    <x v="6"/>
    <m/>
    <m/>
    <m/>
  </r>
  <r>
    <n v="264"/>
    <x v="30"/>
    <s v="Female"/>
    <x v="1"/>
    <x v="2"/>
    <n v="50825"/>
    <n v="20"/>
    <n v="4"/>
    <s v="No"/>
    <s v="No"/>
    <s v="Technical"/>
    <x v="8"/>
    <m/>
    <m/>
    <m/>
    <x v="6"/>
    <m/>
    <m/>
    <m/>
  </r>
  <r>
    <n v="265"/>
    <x v="20"/>
    <s v="Male"/>
    <x v="2"/>
    <x v="3"/>
    <n v="26232"/>
    <n v="12"/>
    <n v="2"/>
    <s v="No"/>
    <s v="No"/>
    <s v="Finance"/>
    <x v="8"/>
    <m/>
    <m/>
    <m/>
    <x v="6"/>
    <m/>
    <m/>
    <m/>
  </r>
  <r>
    <n v="266"/>
    <x v="3"/>
    <s v="Male"/>
    <x v="3"/>
    <x v="2"/>
    <n v="56507"/>
    <n v="12"/>
    <n v="3"/>
    <s v="Yes"/>
    <s v="No"/>
    <s v="Marketing"/>
    <x v="8"/>
    <m/>
    <m/>
    <m/>
    <x v="6"/>
    <m/>
    <m/>
    <m/>
  </r>
  <r>
    <n v="267"/>
    <x v="16"/>
    <s v="Female"/>
    <x v="2"/>
    <x v="0"/>
    <n v="26442"/>
    <n v="4"/>
    <n v="1"/>
    <s v="No"/>
    <s v="Yes"/>
    <s v="Marketing"/>
    <x v="8"/>
    <m/>
    <m/>
    <m/>
    <x v="6"/>
    <m/>
    <m/>
    <m/>
  </r>
  <r>
    <n v="268"/>
    <x v="14"/>
    <s v="Male"/>
    <x v="3"/>
    <x v="2"/>
    <n v="93240"/>
    <n v="2"/>
    <n v="4"/>
    <s v="No"/>
    <s v="No"/>
    <s v="Life Sciences"/>
    <x v="8"/>
    <m/>
    <m/>
    <m/>
    <x v="6"/>
    <m/>
    <m/>
    <m/>
  </r>
  <r>
    <n v="269"/>
    <x v="14"/>
    <s v="Male"/>
    <x v="4"/>
    <x v="3"/>
    <n v="89967"/>
    <n v="7"/>
    <n v="3"/>
    <s v="No"/>
    <s v="Yes"/>
    <s v="Marketing"/>
    <x v="8"/>
    <m/>
    <m/>
    <m/>
    <x v="6"/>
    <m/>
    <m/>
    <m/>
  </r>
  <r>
    <n v="270"/>
    <x v="9"/>
    <s v="Female"/>
    <x v="3"/>
    <x v="2"/>
    <n v="23292"/>
    <n v="4"/>
    <n v="1"/>
    <s v="No"/>
    <s v="Yes"/>
    <s v="Marketing"/>
    <x v="8"/>
    <m/>
    <m/>
    <m/>
    <x v="6"/>
    <m/>
    <m/>
    <m/>
  </r>
  <r>
    <n v="271"/>
    <x v="4"/>
    <s v="Male"/>
    <x v="5"/>
    <x v="0"/>
    <n v="109489"/>
    <n v="7"/>
    <n v="2"/>
    <s v="No"/>
    <s v="No"/>
    <s v="Marketing"/>
    <x v="8"/>
    <m/>
    <m/>
    <m/>
    <x v="6"/>
    <m/>
    <m/>
    <m/>
  </r>
  <r>
    <n v="272"/>
    <x v="34"/>
    <s v="Female"/>
    <x v="5"/>
    <x v="3"/>
    <n v="58544"/>
    <n v="12"/>
    <n v="4"/>
    <s v="No"/>
    <s v="No"/>
    <s v="HR"/>
    <x v="8"/>
    <m/>
    <m/>
    <m/>
    <x v="6"/>
    <m/>
    <m/>
    <m/>
  </r>
  <r>
    <n v="273"/>
    <x v="25"/>
    <s v="Male"/>
    <x v="5"/>
    <x v="3"/>
    <n v="57030"/>
    <n v="9"/>
    <n v="3"/>
    <s v="No"/>
    <s v="Yes"/>
    <s v="Finance"/>
    <x v="8"/>
    <m/>
    <m/>
    <m/>
    <x v="6"/>
    <m/>
    <m/>
    <m/>
  </r>
  <r>
    <n v="274"/>
    <x v="22"/>
    <s v="Female"/>
    <x v="3"/>
    <x v="0"/>
    <n v="57714"/>
    <n v="7"/>
    <n v="2"/>
    <s v="No"/>
    <s v="No"/>
    <s v="HR"/>
    <x v="8"/>
    <m/>
    <m/>
    <m/>
    <x v="6"/>
    <m/>
    <m/>
    <m/>
  </r>
  <r>
    <n v="275"/>
    <x v="17"/>
    <s v="Female"/>
    <x v="0"/>
    <x v="1"/>
    <n v="104353"/>
    <n v="5"/>
    <n v="4"/>
    <s v="No"/>
    <s v="Yes"/>
    <s v="Marketing"/>
    <x v="8"/>
    <m/>
    <m/>
    <m/>
    <x v="6"/>
    <m/>
    <m/>
    <m/>
  </r>
  <r>
    <n v="276"/>
    <x v="36"/>
    <s v="Female"/>
    <x v="4"/>
    <x v="3"/>
    <n v="103208"/>
    <n v="13"/>
    <n v="2"/>
    <s v="Yes"/>
    <s v="No"/>
    <s v="Finance"/>
    <x v="8"/>
    <m/>
    <m/>
    <m/>
    <x v="6"/>
    <m/>
    <m/>
    <m/>
  </r>
  <r>
    <n v="277"/>
    <x v="6"/>
    <s v="Female"/>
    <x v="1"/>
    <x v="0"/>
    <n v="73860"/>
    <n v="2"/>
    <n v="3"/>
    <s v="No"/>
    <s v="No"/>
    <s v="HR"/>
    <x v="8"/>
    <m/>
    <m/>
    <m/>
    <x v="6"/>
    <m/>
    <m/>
    <m/>
  </r>
  <r>
    <n v="278"/>
    <x v="7"/>
    <s v="Female"/>
    <x v="4"/>
    <x v="5"/>
    <n v="26138"/>
    <n v="20"/>
    <n v="1"/>
    <s v="No"/>
    <s v="Yes"/>
    <s v="HR"/>
    <x v="8"/>
    <m/>
    <m/>
    <m/>
    <x v="6"/>
    <m/>
    <m/>
    <m/>
  </r>
  <r>
    <n v="279"/>
    <x v="21"/>
    <s v="Male"/>
    <x v="3"/>
    <x v="1"/>
    <n v="119363"/>
    <n v="10"/>
    <n v="2"/>
    <s v="Yes"/>
    <s v="No"/>
    <s v="Finance"/>
    <x v="8"/>
    <m/>
    <m/>
    <m/>
    <x v="6"/>
    <m/>
    <m/>
    <m/>
  </r>
  <r>
    <n v="280"/>
    <x v="5"/>
    <s v="Male"/>
    <x v="5"/>
    <x v="0"/>
    <n v="75694"/>
    <n v="12"/>
    <n v="3"/>
    <s v="No"/>
    <s v="Yes"/>
    <s v="Finance"/>
    <x v="8"/>
    <m/>
    <m/>
    <m/>
    <x v="6"/>
    <m/>
    <m/>
    <m/>
  </r>
  <r>
    <n v="281"/>
    <x v="38"/>
    <s v="Female"/>
    <x v="5"/>
    <x v="1"/>
    <n v="110702"/>
    <n v="3"/>
    <n v="4"/>
    <s v="No"/>
    <s v="Yes"/>
    <s v="Marketing"/>
    <x v="8"/>
    <m/>
    <m/>
    <m/>
    <x v="6"/>
    <m/>
    <m/>
    <m/>
  </r>
  <r>
    <n v="282"/>
    <x v="35"/>
    <s v="Female"/>
    <x v="2"/>
    <x v="5"/>
    <n v="72431"/>
    <n v="3"/>
    <n v="1"/>
    <s v="No"/>
    <s v="No"/>
    <s v="Life Sciences"/>
    <x v="8"/>
    <m/>
    <m/>
    <m/>
    <x v="6"/>
    <m/>
    <m/>
    <m/>
  </r>
  <r>
    <n v="283"/>
    <x v="28"/>
    <s v="Male"/>
    <x v="1"/>
    <x v="1"/>
    <n v="29334"/>
    <n v="20"/>
    <n v="2"/>
    <s v="No"/>
    <s v="Yes"/>
    <s v="Marketing"/>
    <x v="8"/>
    <m/>
    <m/>
    <m/>
    <x v="6"/>
    <m/>
    <m/>
    <m/>
  </r>
  <r>
    <n v="284"/>
    <x v="14"/>
    <s v="Male"/>
    <x v="4"/>
    <x v="5"/>
    <n v="75562"/>
    <n v="13"/>
    <n v="4"/>
    <s v="No"/>
    <s v="Yes"/>
    <s v="Finance"/>
    <x v="8"/>
    <m/>
    <m/>
    <m/>
    <x v="6"/>
    <m/>
    <m/>
    <m/>
  </r>
  <r>
    <n v="285"/>
    <x v="30"/>
    <s v="Female"/>
    <x v="2"/>
    <x v="5"/>
    <n v="40863"/>
    <n v="19"/>
    <n v="2"/>
    <s v="No"/>
    <s v="No"/>
    <s v="Technical"/>
    <x v="8"/>
    <m/>
    <m/>
    <m/>
    <x v="6"/>
    <m/>
    <m/>
    <m/>
  </r>
  <r>
    <n v="286"/>
    <x v="10"/>
    <s v="Male"/>
    <x v="3"/>
    <x v="3"/>
    <n v="90674"/>
    <n v="2"/>
    <n v="2"/>
    <s v="No"/>
    <s v="Yes"/>
    <s v="Finance"/>
    <x v="8"/>
    <m/>
    <m/>
    <m/>
    <x v="6"/>
    <m/>
    <m/>
    <m/>
  </r>
  <r>
    <n v="287"/>
    <x v="0"/>
    <s v="Female"/>
    <x v="1"/>
    <x v="2"/>
    <n v="102910"/>
    <n v="8"/>
    <n v="4"/>
    <s v="No"/>
    <s v="No"/>
    <s v="HR"/>
    <x v="8"/>
    <m/>
    <m/>
    <m/>
    <x v="6"/>
    <m/>
    <m/>
    <m/>
  </r>
  <r>
    <n v="288"/>
    <x v="0"/>
    <s v="Female"/>
    <x v="1"/>
    <x v="4"/>
    <n v="61135"/>
    <n v="11"/>
    <n v="1"/>
    <s v="No"/>
    <s v="No"/>
    <s v="Technical"/>
    <x v="8"/>
    <m/>
    <m/>
    <m/>
    <x v="6"/>
    <m/>
    <m/>
    <m/>
  </r>
  <r>
    <n v="289"/>
    <x v="27"/>
    <s v="Female"/>
    <x v="0"/>
    <x v="1"/>
    <n v="46270"/>
    <n v="3"/>
    <n v="4"/>
    <s v="Yes"/>
    <s v="No"/>
    <s v="Finance"/>
    <x v="8"/>
    <m/>
    <m/>
    <m/>
    <x v="6"/>
    <m/>
    <m/>
    <m/>
  </r>
  <r>
    <n v="290"/>
    <x v="7"/>
    <s v="Female"/>
    <x v="0"/>
    <x v="4"/>
    <n v="90340"/>
    <n v="4"/>
    <n v="2"/>
    <s v="No"/>
    <s v="No"/>
    <s v="HR"/>
    <x v="8"/>
    <m/>
    <m/>
    <m/>
    <x v="6"/>
    <m/>
    <m/>
    <m/>
  </r>
  <r>
    <n v="291"/>
    <x v="18"/>
    <s v="Female"/>
    <x v="1"/>
    <x v="0"/>
    <n v="52858"/>
    <n v="15"/>
    <n v="3"/>
    <s v="Yes"/>
    <s v="Yes"/>
    <s v="Life Sciences"/>
    <x v="8"/>
    <m/>
    <m/>
    <m/>
    <x v="6"/>
    <m/>
    <m/>
    <m/>
  </r>
  <r>
    <n v="292"/>
    <x v="9"/>
    <s v="Female"/>
    <x v="5"/>
    <x v="5"/>
    <n v="40575"/>
    <n v="4"/>
    <n v="4"/>
    <s v="No"/>
    <s v="No"/>
    <s v="Finance"/>
    <x v="8"/>
    <m/>
    <m/>
    <m/>
    <x v="6"/>
    <m/>
    <m/>
    <m/>
  </r>
  <r>
    <n v="293"/>
    <x v="2"/>
    <s v="Male"/>
    <x v="3"/>
    <x v="0"/>
    <n v="36922"/>
    <n v="15"/>
    <n v="3"/>
    <s v="No"/>
    <s v="Yes"/>
    <s v="Technical"/>
    <x v="8"/>
    <m/>
    <m/>
    <m/>
    <x v="6"/>
    <m/>
    <m/>
    <m/>
  </r>
  <r>
    <n v="294"/>
    <x v="17"/>
    <s v="Female"/>
    <x v="1"/>
    <x v="4"/>
    <n v="37047"/>
    <n v="9"/>
    <n v="1"/>
    <s v="No"/>
    <s v="No"/>
    <s v="HR"/>
    <x v="8"/>
    <m/>
    <m/>
    <m/>
    <x v="6"/>
    <m/>
    <m/>
    <m/>
  </r>
  <r>
    <n v="295"/>
    <x v="0"/>
    <s v="Male"/>
    <x v="0"/>
    <x v="2"/>
    <n v="116595"/>
    <n v="8"/>
    <n v="2"/>
    <s v="No"/>
    <s v="No"/>
    <s v="Finance"/>
    <x v="8"/>
    <m/>
    <m/>
    <m/>
    <x v="6"/>
    <m/>
    <m/>
    <m/>
  </r>
  <r>
    <n v="296"/>
    <x v="16"/>
    <s v="Male"/>
    <x v="5"/>
    <x v="3"/>
    <n v="113480"/>
    <n v="20"/>
    <n v="3"/>
    <s v="No"/>
    <s v="Yes"/>
    <s v="Life Sciences"/>
    <x v="8"/>
    <m/>
    <m/>
    <m/>
    <x v="6"/>
    <m/>
    <m/>
    <m/>
  </r>
  <r>
    <n v="297"/>
    <x v="2"/>
    <s v="Female"/>
    <x v="0"/>
    <x v="4"/>
    <n v="116663"/>
    <n v="3"/>
    <n v="4"/>
    <s v="Yes"/>
    <s v="Yes"/>
    <s v="Technical"/>
    <x v="8"/>
    <m/>
    <m/>
    <m/>
    <x v="6"/>
    <m/>
    <m/>
    <m/>
  </r>
  <r>
    <n v="298"/>
    <x v="25"/>
    <s v="Female"/>
    <x v="1"/>
    <x v="4"/>
    <n v="42124"/>
    <n v="6"/>
    <n v="2"/>
    <s v="No"/>
    <s v="Yes"/>
    <s v="Marketing"/>
    <x v="8"/>
    <m/>
    <m/>
    <m/>
    <x v="6"/>
    <m/>
    <m/>
    <m/>
  </r>
  <r>
    <n v="299"/>
    <x v="37"/>
    <s v="Male"/>
    <x v="4"/>
    <x v="2"/>
    <n v="90069"/>
    <n v="9"/>
    <n v="1"/>
    <s v="No"/>
    <s v="No"/>
    <s v="Marketing"/>
    <x v="8"/>
    <m/>
    <m/>
    <m/>
    <x v="6"/>
    <m/>
    <m/>
    <m/>
  </r>
  <r>
    <n v="300"/>
    <x v="25"/>
    <s v="Male"/>
    <x v="0"/>
    <x v="2"/>
    <n v="47725"/>
    <n v="4"/>
    <n v="4"/>
    <s v="No"/>
    <s v="Yes"/>
    <s v="Technical"/>
    <x v="8"/>
    <m/>
    <m/>
    <m/>
    <x v="6"/>
    <m/>
    <m/>
    <m/>
  </r>
  <r>
    <n v="301"/>
    <x v="22"/>
    <s v="Male"/>
    <x v="0"/>
    <x v="0"/>
    <n v="50221"/>
    <n v="20"/>
    <n v="4"/>
    <s v="No"/>
    <s v="No"/>
    <s v="HR"/>
    <x v="8"/>
    <m/>
    <m/>
    <m/>
    <x v="6"/>
    <m/>
    <m/>
    <m/>
  </r>
  <r>
    <n v="302"/>
    <x v="10"/>
    <s v="Male"/>
    <x v="0"/>
    <x v="0"/>
    <n v="74597"/>
    <n v="11"/>
    <n v="4"/>
    <s v="No"/>
    <s v="No"/>
    <s v="Marketing"/>
    <x v="8"/>
    <m/>
    <m/>
    <m/>
    <x v="6"/>
    <m/>
    <m/>
    <m/>
  </r>
  <r>
    <n v="303"/>
    <x v="36"/>
    <s v="Male"/>
    <x v="5"/>
    <x v="3"/>
    <n v="67129"/>
    <n v="17"/>
    <n v="3"/>
    <s v="No"/>
    <s v="Yes"/>
    <s v="Marketing"/>
    <x v="8"/>
    <m/>
    <m/>
    <m/>
    <x v="6"/>
    <m/>
    <m/>
    <m/>
  </r>
  <r>
    <n v="304"/>
    <x v="28"/>
    <s v="Female"/>
    <x v="3"/>
    <x v="5"/>
    <n v="90750"/>
    <n v="17"/>
    <n v="1"/>
    <s v="No"/>
    <s v="Yes"/>
    <s v="Life Sciences"/>
    <x v="8"/>
    <m/>
    <m/>
    <m/>
    <x v="6"/>
    <m/>
    <m/>
    <m/>
  </r>
  <r>
    <n v="305"/>
    <x v="16"/>
    <s v="Male"/>
    <x v="5"/>
    <x v="2"/>
    <n v="117745"/>
    <n v="20"/>
    <n v="1"/>
    <s v="Yes"/>
    <s v="No"/>
    <s v="Finance"/>
    <x v="8"/>
    <m/>
    <m/>
    <m/>
    <x v="6"/>
    <m/>
    <m/>
    <m/>
  </r>
  <r>
    <n v="306"/>
    <x v="19"/>
    <s v="Female"/>
    <x v="2"/>
    <x v="5"/>
    <n v="100196"/>
    <n v="4"/>
    <n v="3"/>
    <s v="Yes"/>
    <s v="No"/>
    <s v="Marketing"/>
    <x v="8"/>
    <m/>
    <m/>
    <m/>
    <x v="6"/>
    <m/>
    <m/>
    <m/>
  </r>
  <r>
    <n v="307"/>
    <x v="38"/>
    <s v="Female"/>
    <x v="0"/>
    <x v="5"/>
    <n v="102098"/>
    <n v="11"/>
    <n v="2"/>
    <s v="Yes"/>
    <s v="Yes"/>
    <s v="Finance"/>
    <x v="8"/>
    <m/>
    <m/>
    <m/>
    <x v="6"/>
    <m/>
    <m/>
    <m/>
  </r>
  <r>
    <n v="308"/>
    <x v="38"/>
    <s v="Male"/>
    <x v="1"/>
    <x v="1"/>
    <n v="15142"/>
    <n v="3"/>
    <n v="4"/>
    <s v="No"/>
    <s v="Yes"/>
    <s v="Life Sciences"/>
    <x v="8"/>
    <m/>
    <m/>
    <m/>
    <x v="6"/>
    <m/>
    <m/>
    <m/>
  </r>
  <r>
    <n v="309"/>
    <x v="34"/>
    <s v="Female"/>
    <x v="2"/>
    <x v="1"/>
    <n v="30806"/>
    <n v="10"/>
    <n v="4"/>
    <s v="No"/>
    <s v="No"/>
    <s v="Life Sciences"/>
    <x v="8"/>
    <m/>
    <m/>
    <m/>
    <x v="6"/>
    <m/>
    <m/>
    <m/>
  </r>
  <r>
    <n v="310"/>
    <x v="16"/>
    <s v="Male"/>
    <x v="5"/>
    <x v="1"/>
    <n v="56071"/>
    <n v="3"/>
    <n v="2"/>
    <s v="No"/>
    <s v="No"/>
    <s v="Life Sciences"/>
    <x v="8"/>
    <m/>
    <m/>
    <m/>
    <x v="6"/>
    <m/>
    <m/>
    <m/>
  </r>
  <r>
    <n v="311"/>
    <x v="12"/>
    <s v="Male"/>
    <x v="0"/>
    <x v="5"/>
    <n v="16110"/>
    <n v="18"/>
    <n v="2"/>
    <s v="No"/>
    <s v="Yes"/>
    <s v="Finance"/>
    <x v="8"/>
    <m/>
    <m/>
    <m/>
    <x v="6"/>
    <m/>
    <m/>
    <m/>
  </r>
  <r>
    <n v="312"/>
    <x v="2"/>
    <s v="Male"/>
    <x v="1"/>
    <x v="5"/>
    <n v="26362"/>
    <n v="6"/>
    <n v="4"/>
    <s v="Yes"/>
    <s v="Yes"/>
    <s v="Marketing"/>
    <x v="8"/>
    <m/>
    <m/>
    <m/>
    <x v="6"/>
    <m/>
    <m/>
    <m/>
  </r>
  <r>
    <n v="313"/>
    <x v="1"/>
    <s v="Male"/>
    <x v="4"/>
    <x v="4"/>
    <n v="118688"/>
    <n v="10"/>
    <n v="3"/>
    <s v="Yes"/>
    <s v="Yes"/>
    <s v="Life Sciences"/>
    <x v="8"/>
    <m/>
    <m/>
    <m/>
    <x v="6"/>
    <m/>
    <m/>
    <m/>
  </r>
  <r>
    <n v="314"/>
    <x v="23"/>
    <s v="Female"/>
    <x v="0"/>
    <x v="0"/>
    <n v="82862"/>
    <n v="6"/>
    <n v="2"/>
    <s v="No"/>
    <s v="Yes"/>
    <s v="Finance"/>
    <x v="8"/>
    <m/>
    <m/>
    <m/>
    <x v="6"/>
    <m/>
    <m/>
    <m/>
  </r>
  <r>
    <n v="315"/>
    <x v="6"/>
    <s v="Male"/>
    <x v="1"/>
    <x v="0"/>
    <n v="46599"/>
    <n v="3"/>
    <n v="3"/>
    <s v="No"/>
    <s v="No"/>
    <s v="Marketing"/>
    <x v="8"/>
    <m/>
    <m/>
    <m/>
    <x v="6"/>
    <m/>
    <m/>
    <m/>
  </r>
  <r>
    <n v="316"/>
    <x v="25"/>
    <s v="Male"/>
    <x v="5"/>
    <x v="0"/>
    <n v="89498"/>
    <n v="12"/>
    <n v="1"/>
    <s v="No"/>
    <s v="No"/>
    <s v="HR"/>
    <x v="8"/>
    <m/>
    <m/>
    <m/>
    <x v="6"/>
    <m/>
    <m/>
    <m/>
  </r>
  <r>
    <n v="317"/>
    <x v="36"/>
    <s v="Male"/>
    <x v="5"/>
    <x v="4"/>
    <n v="49365"/>
    <n v="0"/>
    <n v="3"/>
    <s v="Yes"/>
    <s v="Yes"/>
    <s v="HR"/>
    <x v="8"/>
    <m/>
    <m/>
    <m/>
    <x v="6"/>
    <m/>
    <m/>
    <m/>
  </r>
  <r>
    <n v="318"/>
    <x v="33"/>
    <s v="Male"/>
    <x v="3"/>
    <x v="0"/>
    <n v="106987"/>
    <n v="13"/>
    <n v="3"/>
    <s v="Yes"/>
    <s v="No"/>
    <s v="Life Sciences"/>
    <x v="8"/>
    <m/>
    <m/>
    <m/>
    <x v="6"/>
    <m/>
    <m/>
    <m/>
  </r>
  <r>
    <n v="319"/>
    <x v="24"/>
    <s v="Male"/>
    <x v="3"/>
    <x v="5"/>
    <n v="35365"/>
    <n v="6"/>
    <n v="4"/>
    <s v="No"/>
    <s v="No"/>
    <s v="Technical"/>
    <x v="8"/>
    <m/>
    <m/>
    <m/>
    <x v="6"/>
    <m/>
    <m/>
    <m/>
  </r>
  <r>
    <n v="320"/>
    <x v="8"/>
    <s v="Male"/>
    <x v="3"/>
    <x v="5"/>
    <n v="26300"/>
    <n v="7"/>
    <n v="2"/>
    <s v="Yes"/>
    <s v="No"/>
    <s v="Life Sciences"/>
    <x v="8"/>
    <m/>
    <m/>
    <m/>
    <x v="6"/>
    <m/>
    <m/>
    <m/>
  </r>
  <r>
    <n v="321"/>
    <x v="34"/>
    <s v="Female"/>
    <x v="1"/>
    <x v="4"/>
    <n v="106946"/>
    <n v="4"/>
    <n v="3"/>
    <s v="Yes"/>
    <s v="Yes"/>
    <s v="Technical"/>
    <x v="8"/>
    <m/>
    <m/>
    <m/>
    <x v="6"/>
    <m/>
    <m/>
    <m/>
  </r>
  <r>
    <n v="322"/>
    <x v="5"/>
    <s v="Male"/>
    <x v="2"/>
    <x v="3"/>
    <n v="113274"/>
    <n v="4"/>
    <n v="4"/>
    <s v="No"/>
    <s v="No"/>
    <s v="Marketing"/>
    <x v="8"/>
    <m/>
    <m/>
    <m/>
    <x v="6"/>
    <m/>
    <m/>
    <m/>
  </r>
  <r>
    <n v="323"/>
    <x v="12"/>
    <s v="Female"/>
    <x v="2"/>
    <x v="2"/>
    <n v="49465"/>
    <n v="2"/>
    <n v="2"/>
    <s v="Yes"/>
    <s v="Yes"/>
    <s v="Marketing"/>
    <x v="8"/>
    <m/>
    <m/>
    <m/>
    <x v="6"/>
    <m/>
    <m/>
    <m/>
  </r>
  <r>
    <n v="324"/>
    <x v="18"/>
    <s v="Male"/>
    <x v="4"/>
    <x v="5"/>
    <n v="116361"/>
    <n v="8"/>
    <n v="1"/>
    <s v="No"/>
    <s v="Yes"/>
    <s v="Life Sciences"/>
    <x v="8"/>
    <m/>
    <m/>
    <m/>
    <x v="6"/>
    <m/>
    <m/>
    <m/>
  </r>
  <r>
    <n v="325"/>
    <x v="34"/>
    <s v="Male"/>
    <x v="4"/>
    <x v="0"/>
    <n v="21026"/>
    <n v="7"/>
    <n v="4"/>
    <s v="No"/>
    <s v="No"/>
    <s v="Technical"/>
    <x v="8"/>
    <m/>
    <m/>
    <m/>
    <x v="6"/>
    <m/>
    <m/>
    <m/>
  </r>
  <r>
    <n v="326"/>
    <x v="27"/>
    <s v="Male"/>
    <x v="1"/>
    <x v="3"/>
    <n v="69559"/>
    <n v="7"/>
    <n v="1"/>
    <s v="No"/>
    <s v="No"/>
    <s v="HR"/>
    <x v="8"/>
    <m/>
    <m/>
    <m/>
    <x v="6"/>
    <m/>
    <m/>
    <m/>
  </r>
  <r>
    <n v="327"/>
    <x v="8"/>
    <s v="Male"/>
    <x v="5"/>
    <x v="3"/>
    <n v="44253"/>
    <n v="5"/>
    <n v="3"/>
    <s v="No"/>
    <s v="Yes"/>
    <s v="Marketing"/>
    <x v="8"/>
    <m/>
    <m/>
    <m/>
    <x v="6"/>
    <m/>
    <m/>
    <m/>
  </r>
  <r>
    <n v="328"/>
    <x v="38"/>
    <s v="Female"/>
    <x v="1"/>
    <x v="3"/>
    <n v="74866"/>
    <n v="17"/>
    <n v="2"/>
    <s v="No"/>
    <s v="Yes"/>
    <s v="Finance"/>
    <x v="8"/>
    <m/>
    <m/>
    <m/>
    <x v="6"/>
    <m/>
    <m/>
    <m/>
  </r>
  <r>
    <n v="329"/>
    <x v="5"/>
    <s v="Male"/>
    <x v="4"/>
    <x v="0"/>
    <n v="79665"/>
    <n v="18"/>
    <n v="4"/>
    <s v="No"/>
    <s v="Yes"/>
    <s v="Life Sciences"/>
    <x v="8"/>
    <m/>
    <m/>
    <m/>
    <x v="6"/>
    <m/>
    <m/>
    <m/>
  </r>
  <r>
    <n v="330"/>
    <x v="15"/>
    <s v="Male"/>
    <x v="0"/>
    <x v="2"/>
    <n v="60406"/>
    <n v="17"/>
    <n v="3"/>
    <s v="No"/>
    <s v="Yes"/>
    <s v="Life Sciences"/>
    <x v="8"/>
    <m/>
    <m/>
    <m/>
    <x v="6"/>
    <m/>
    <m/>
    <m/>
  </r>
  <r>
    <n v="331"/>
    <x v="31"/>
    <s v="Male"/>
    <x v="4"/>
    <x v="5"/>
    <n v="46217"/>
    <n v="16"/>
    <n v="3"/>
    <s v="No"/>
    <s v="No"/>
    <s v="Life Sciences"/>
    <x v="8"/>
    <m/>
    <m/>
    <m/>
    <x v="6"/>
    <m/>
    <m/>
    <m/>
  </r>
  <r>
    <n v="332"/>
    <x v="32"/>
    <s v="Female"/>
    <x v="5"/>
    <x v="5"/>
    <n v="83125"/>
    <n v="7"/>
    <n v="1"/>
    <s v="No"/>
    <s v="No"/>
    <s v="HR"/>
    <x v="8"/>
    <m/>
    <m/>
    <m/>
    <x v="6"/>
    <m/>
    <m/>
    <m/>
  </r>
  <r>
    <n v="333"/>
    <x v="16"/>
    <s v="Male"/>
    <x v="5"/>
    <x v="5"/>
    <n v="32499"/>
    <n v="16"/>
    <n v="2"/>
    <s v="Yes"/>
    <s v="No"/>
    <s v="Technical"/>
    <x v="8"/>
    <m/>
    <m/>
    <m/>
    <x v="6"/>
    <m/>
    <m/>
    <m/>
  </r>
  <r>
    <n v="334"/>
    <x v="37"/>
    <s v="Female"/>
    <x v="3"/>
    <x v="2"/>
    <n v="56288"/>
    <n v="8"/>
    <n v="3"/>
    <s v="No"/>
    <s v="No"/>
    <s v="Technical"/>
    <x v="8"/>
    <m/>
    <m/>
    <m/>
    <x v="6"/>
    <m/>
    <m/>
    <m/>
  </r>
  <r>
    <n v="335"/>
    <x v="36"/>
    <s v="Male"/>
    <x v="5"/>
    <x v="2"/>
    <n v="32840"/>
    <n v="6"/>
    <n v="3"/>
    <s v="Yes"/>
    <s v="Yes"/>
    <s v="Finance"/>
    <x v="8"/>
    <m/>
    <m/>
    <m/>
    <x v="6"/>
    <m/>
    <m/>
    <m/>
  </r>
  <r>
    <n v="336"/>
    <x v="0"/>
    <s v="Female"/>
    <x v="3"/>
    <x v="0"/>
    <n v="61961"/>
    <n v="17"/>
    <n v="1"/>
    <s v="No"/>
    <s v="Yes"/>
    <s v="Technical"/>
    <x v="8"/>
    <m/>
    <m/>
    <m/>
    <x v="6"/>
    <m/>
    <m/>
    <m/>
  </r>
  <r>
    <n v="337"/>
    <x v="23"/>
    <s v="Female"/>
    <x v="4"/>
    <x v="0"/>
    <n v="20286"/>
    <n v="19"/>
    <n v="2"/>
    <s v="No"/>
    <s v="Yes"/>
    <s v="Marketing"/>
    <x v="8"/>
    <m/>
    <m/>
    <m/>
    <x v="6"/>
    <m/>
    <m/>
    <m/>
  </r>
  <r>
    <n v="338"/>
    <x v="21"/>
    <s v="Male"/>
    <x v="2"/>
    <x v="2"/>
    <n v="21416"/>
    <n v="16"/>
    <n v="4"/>
    <s v="No"/>
    <s v="No"/>
    <s v="HR"/>
    <x v="8"/>
    <m/>
    <m/>
    <m/>
    <x v="6"/>
    <m/>
    <m/>
    <m/>
  </r>
  <r>
    <n v="339"/>
    <x v="14"/>
    <s v="Male"/>
    <x v="2"/>
    <x v="0"/>
    <n v="27415"/>
    <n v="7"/>
    <n v="1"/>
    <s v="Yes"/>
    <s v="No"/>
    <s v="Technical"/>
    <x v="8"/>
    <m/>
    <m/>
    <m/>
    <x v="6"/>
    <m/>
    <m/>
    <m/>
  </r>
  <r>
    <n v="340"/>
    <x v="25"/>
    <s v="Male"/>
    <x v="1"/>
    <x v="4"/>
    <n v="67505"/>
    <n v="6"/>
    <n v="3"/>
    <s v="No"/>
    <s v="No"/>
    <s v="Life Sciences"/>
    <x v="8"/>
    <m/>
    <m/>
    <m/>
    <x v="6"/>
    <m/>
    <m/>
    <m/>
  </r>
  <r>
    <n v="341"/>
    <x v="30"/>
    <s v="Male"/>
    <x v="3"/>
    <x v="0"/>
    <n v="40919"/>
    <n v="2"/>
    <n v="1"/>
    <s v="No"/>
    <s v="No"/>
    <s v="Finance"/>
    <x v="8"/>
    <m/>
    <m/>
    <m/>
    <x v="6"/>
    <m/>
    <m/>
    <m/>
  </r>
  <r>
    <n v="342"/>
    <x v="8"/>
    <s v="Female"/>
    <x v="5"/>
    <x v="0"/>
    <n v="90220"/>
    <n v="5"/>
    <n v="4"/>
    <s v="No"/>
    <s v="No"/>
    <s v="Finance"/>
    <x v="8"/>
    <m/>
    <m/>
    <m/>
    <x v="6"/>
    <m/>
    <m/>
    <m/>
  </r>
  <r>
    <n v="343"/>
    <x v="11"/>
    <s v="Female"/>
    <x v="4"/>
    <x v="0"/>
    <n v="43143"/>
    <n v="11"/>
    <n v="2"/>
    <s v="No"/>
    <s v="Yes"/>
    <s v="Marketing"/>
    <x v="8"/>
    <m/>
    <m/>
    <m/>
    <x v="6"/>
    <m/>
    <m/>
    <m/>
  </r>
  <r>
    <n v="344"/>
    <x v="9"/>
    <s v="Female"/>
    <x v="5"/>
    <x v="1"/>
    <n v="87179"/>
    <n v="13"/>
    <n v="4"/>
    <s v="Yes"/>
    <s v="No"/>
    <s v="Technical"/>
    <x v="8"/>
    <m/>
    <m/>
    <m/>
    <x v="6"/>
    <m/>
    <m/>
    <m/>
  </r>
  <r>
    <n v="345"/>
    <x v="12"/>
    <s v="Female"/>
    <x v="5"/>
    <x v="4"/>
    <n v="97674"/>
    <n v="7"/>
    <n v="4"/>
    <s v="No"/>
    <s v="Yes"/>
    <s v="Marketing"/>
    <x v="8"/>
    <m/>
    <m/>
    <m/>
    <x v="6"/>
    <m/>
    <m/>
    <m/>
  </r>
  <r>
    <n v="346"/>
    <x v="22"/>
    <s v="Male"/>
    <x v="3"/>
    <x v="4"/>
    <n v="57153"/>
    <n v="16"/>
    <n v="2"/>
    <s v="No"/>
    <s v="No"/>
    <s v="Life Sciences"/>
    <x v="8"/>
    <m/>
    <m/>
    <m/>
    <x v="6"/>
    <m/>
    <m/>
    <m/>
  </r>
  <r>
    <n v="347"/>
    <x v="10"/>
    <s v="Male"/>
    <x v="4"/>
    <x v="0"/>
    <n v="76824"/>
    <n v="1"/>
    <n v="2"/>
    <s v="No"/>
    <s v="No"/>
    <s v="Technical"/>
    <x v="8"/>
    <m/>
    <m/>
    <m/>
    <x v="6"/>
    <m/>
    <m/>
    <m/>
  </r>
  <r>
    <n v="348"/>
    <x v="10"/>
    <s v="Male"/>
    <x v="1"/>
    <x v="2"/>
    <n v="118709"/>
    <n v="17"/>
    <n v="3"/>
    <s v="No"/>
    <s v="Yes"/>
    <s v="Technical"/>
    <x v="8"/>
    <m/>
    <m/>
    <m/>
    <x v="6"/>
    <m/>
    <m/>
    <m/>
  </r>
  <r>
    <n v="349"/>
    <x v="11"/>
    <s v="Female"/>
    <x v="1"/>
    <x v="0"/>
    <n v="92662"/>
    <n v="7"/>
    <n v="3"/>
    <s v="No"/>
    <s v="No"/>
    <s v="HR"/>
    <x v="8"/>
    <m/>
    <m/>
    <m/>
    <x v="6"/>
    <m/>
    <m/>
    <m/>
  </r>
  <r>
    <n v="350"/>
    <x v="22"/>
    <s v="Female"/>
    <x v="1"/>
    <x v="3"/>
    <n v="88807"/>
    <n v="4"/>
    <n v="2"/>
    <s v="No"/>
    <s v="Yes"/>
    <s v="Finance"/>
    <x v="8"/>
    <m/>
    <m/>
    <m/>
    <x v="6"/>
    <m/>
    <m/>
    <m/>
  </r>
  <r>
    <n v="351"/>
    <x v="32"/>
    <s v="Male"/>
    <x v="1"/>
    <x v="2"/>
    <n v="22362"/>
    <n v="2"/>
    <n v="1"/>
    <s v="No"/>
    <s v="Yes"/>
    <s v="Marketing"/>
    <x v="8"/>
    <m/>
    <m/>
    <m/>
    <x v="6"/>
    <m/>
    <m/>
    <m/>
  </r>
  <r>
    <n v="352"/>
    <x v="19"/>
    <s v="Female"/>
    <x v="2"/>
    <x v="0"/>
    <n v="59663"/>
    <n v="4"/>
    <n v="2"/>
    <s v="No"/>
    <s v="Yes"/>
    <s v="HR"/>
    <x v="8"/>
    <m/>
    <m/>
    <m/>
    <x v="6"/>
    <m/>
    <m/>
    <m/>
  </r>
  <r>
    <n v="353"/>
    <x v="3"/>
    <s v="Female"/>
    <x v="0"/>
    <x v="5"/>
    <n v="83982"/>
    <n v="3"/>
    <n v="4"/>
    <s v="No"/>
    <s v="No"/>
    <s v="HR"/>
    <x v="8"/>
    <m/>
    <m/>
    <m/>
    <x v="6"/>
    <m/>
    <m/>
    <m/>
  </r>
  <r>
    <n v="354"/>
    <x v="16"/>
    <s v="Male"/>
    <x v="0"/>
    <x v="2"/>
    <n v="54552"/>
    <n v="10"/>
    <n v="4"/>
    <s v="Yes"/>
    <s v="No"/>
    <s v="Marketing"/>
    <x v="8"/>
    <m/>
    <m/>
    <m/>
    <x v="6"/>
    <m/>
    <m/>
    <m/>
  </r>
  <r>
    <n v="355"/>
    <x v="11"/>
    <s v="Male"/>
    <x v="5"/>
    <x v="3"/>
    <n v="105906"/>
    <n v="17"/>
    <n v="3"/>
    <s v="Yes"/>
    <s v="No"/>
    <s v="Technical"/>
    <x v="8"/>
    <m/>
    <m/>
    <m/>
    <x v="6"/>
    <m/>
    <m/>
    <m/>
  </r>
  <r>
    <n v="356"/>
    <x v="11"/>
    <s v="Male"/>
    <x v="4"/>
    <x v="4"/>
    <n v="107013"/>
    <n v="0"/>
    <n v="3"/>
    <s v="No"/>
    <s v="No"/>
    <s v="HR"/>
    <x v="8"/>
    <m/>
    <m/>
    <m/>
    <x v="6"/>
    <m/>
    <m/>
    <m/>
  </r>
  <r>
    <n v="357"/>
    <x v="15"/>
    <s v="Male"/>
    <x v="3"/>
    <x v="5"/>
    <n v="89127"/>
    <n v="20"/>
    <n v="1"/>
    <s v="No"/>
    <s v="Yes"/>
    <s v="Technical"/>
    <x v="8"/>
    <m/>
    <m/>
    <m/>
    <x v="6"/>
    <m/>
    <m/>
    <m/>
  </r>
  <r>
    <n v="358"/>
    <x v="26"/>
    <s v="Female"/>
    <x v="5"/>
    <x v="0"/>
    <n v="37005"/>
    <n v="10"/>
    <n v="3"/>
    <s v="No"/>
    <s v="Yes"/>
    <s v="Technical"/>
    <x v="8"/>
    <m/>
    <m/>
    <m/>
    <x v="6"/>
    <m/>
    <m/>
    <m/>
  </r>
  <r>
    <n v="359"/>
    <x v="13"/>
    <s v="Male"/>
    <x v="2"/>
    <x v="2"/>
    <n v="60938"/>
    <n v="2"/>
    <n v="4"/>
    <s v="No"/>
    <s v="No"/>
    <s v="Finance"/>
    <x v="8"/>
    <m/>
    <m/>
    <m/>
    <x v="6"/>
    <m/>
    <m/>
    <m/>
  </r>
  <r>
    <n v="360"/>
    <x v="18"/>
    <s v="Female"/>
    <x v="2"/>
    <x v="2"/>
    <n v="79629"/>
    <n v="13"/>
    <n v="2"/>
    <s v="No"/>
    <s v="No"/>
    <s v="Technical"/>
    <x v="8"/>
    <m/>
    <m/>
    <m/>
    <x v="6"/>
    <m/>
    <m/>
    <m/>
  </r>
  <r>
    <n v="361"/>
    <x v="2"/>
    <s v="Female"/>
    <x v="3"/>
    <x v="0"/>
    <n v="119752"/>
    <n v="2"/>
    <n v="1"/>
    <s v="Yes"/>
    <s v="Yes"/>
    <s v="Marketing"/>
    <x v="8"/>
    <m/>
    <m/>
    <m/>
    <x v="6"/>
    <m/>
    <m/>
    <m/>
  </r>
  <r>
    <n v="362"/>
    <x v="18"/>
    <s v="Male"/>
    <x v="3"/>
    <x v="4"/>
    <n v="36090"/>
    <n v="12"/>
    <n v="4"/>
    <s v="No"/>
    <s v="Yes"/>
    <s v="Life Sciences"/>
    <x v="8"/>
    <m/>
    <m/>
    <m/>
    <x v="6"/>
    <m/>
    <m/>
    <m/>
  </r>
  <r>
    <n v="363"/>
    <x v="1"/>
    <s v="Male"/>
    <x v="3"/>
    <x v="1"/>
    <n v="36626"/>
    <n v="20"/>
    <n v="2"/>
    <s v="Yes"/>
    <s v="No"/>
    <s v="Finance"/>
    <x v="8"/>
    <m/>
    <m/>
    <m/>
    <x v="6"/>
    <m/>
    <m/>
    <m/>
  </r>
  <r>
    <n v="364"/>
    <x v="14"/>
    <s v="Male"/>
    <x v="2"/>
    <x v="2"/>
    <n v="49768"/>
    <n v="17"/>
    <n v="4"/>
    <s v="No"/>
    <s v="No"/>
    <s v="Technical"/>
    <x v="8"/>
    <m/>
    <m/>
    <m/>
    <x v="6"/>
    <m/>
    <m/>
    <m/>
  </r>
  <r>
    <n v="365"/>
    <x v="8"/>
    <s v="Female"/>
    <x v="4"/>
    <x v="0"/>
    <n v="15500"/>
    <n v="11"/>
    <n v="1"/>
    <s v="Yes"/>
    <s v="No"/>
    <s v="Technical"/>
    <x v="8"/>
    <m/>
    <m/>
    <m/>
    <x v="6"/>
    <m/>
    <m/>
    <m/>
  </r>
  <r>
    <n v="366"/>
    <x v="18"/>
    <s v="Male"/>
    <x v="3"/>
    <x v="2"/>
    <n v="53248"/>
    <n v="20"/>
    <n v="4"/>
    <s v="No"/>
    <s v="Yes"/>
    <s v="Finance"/>
    <x v="8"/>
    <m/>
    <m/>
    <m/>
    <x v="6"/>
    <m/>
    <m/>
    <m/>
  </r>
  <r>
    <n v="367"/>
    <x v="4"/>
    <s v="Female"/>
    <x v="3"/>
    <x v="1"/>
    <n v="99130"/>
    <n v="2"/>
    <n v="4"/>
    <s v="Yes"/>
    <s v="No"/>
    <s v="Life Sciences"/>
    <x v="8"/>
    <m/>
    <m/>
    <m/>
    <x v="6"/>
    <m/>
    <m/>
    <m/>
  </r>
  <r>
    <n v="368"/>
    <x v="4"/>
    <s v="Female"/>
    <x v="1"/>
    <x v="0"/>
    <n v="75956"/>
    <n v="14"/>
    <n v="2"/>
    <s v="Yes"/>
    <s v="No"/>
    <s v="Life Sciences"/>
    <x v="8"/>
    <m/>
    <m/>
    <m/>
    <x v="6"/>
    <m/>
    <m/>
    <m/>
  </r>
  <r>
    <n v="369"/>
    <x v="38"/>
    <s v="Male"/>
    <x v="1"/>
    <x v="0"/>
    <n v="85968"/>
    <n v="11"/>
    <n v="4"/>
    <s v="No"/>
    <s v="No"/>
    <s v="HR"/>
    <x v="8"/>
    <m/>
    <m/>
    <m/>
    <x v="6"/>
    <m/>
    <m/>
    <m/>
  </r>
  <r>
    <n v="370"/>
    <x v="33"/>
    <s v="Male"/>
    <x v="5"/>
    <x v="3"/>
    <n v="105055"/>
    <n v="17"/>
    <n v="1"/>
    <s v="No"/>
    <s v="No"/>
    <s v="Finance"/>
    <x v="8"/>
    <m/>
    <m/>
    <m/>
    <x v="6"/>
    <m/>
    <m/>
    <m/>
  </r>
  <r>
    <n v="371"/>
    <x v="32"/>
    <s v="Female"/>
    <x v="4"/>
    <x v="1"/>
    <n v="89870"/>
    <n v="16"/>
    <n v="2"/>
    <s v="Yes"/>
    <s v="Yes"/>
    <s v="Technical"/>
    <x v="8"/>
    <m/>
    <m/>
    <m/>
    <x v="6"/>
    <m/>
    <m/>
    <m/>
  </r>
  <r>
    <n v="372"/>
    <x v="25"/>
    <s v="Female"/>
    <x v="4"/>
    <x v="5"/>
    <n v="70492"/>
    <n v="1"/>
    <n v="2"/>
    <s v="No"/>
    <s v="Yes"/>
    <s v="HR"/>
    <x v="8"/>
    <m/>
    <m/>
    <m/>
    <x v="6"/>
    <m/>
    <m/>
    <m/>
  </r>
  <r>
    <n v="373"/>
    <x v="4"/>
    <s v="Female"/>
    <x v="1"/>
    <x v="3"/>
    <n v="110302"/>
    <n v="10"/>
    <n v="3"/>
    <s v="Yes"/>
    <s v="Yes"/>
    <s v="HR"/>
    <x v="8"/>
    <m/>
    <m/>
    <m/>
    <x v="6"/>
    <m/>
    <m/>
    <m/>
  </r>
  <r>
    <n v="374"/>
    <x v="29"/>
    <s v="Male"/>
    <x v="4"/>
    <x v="4"/>
    <n v="118094"/>
    <n v="0"/>
    <n v="1"/>
    <s v="Yes"/>
    <s v="No"/>
    <s v="Life Sciences"/>
    <x v="8"/>
    <m/>
    <m/>
    <m/>
    <x v="6"/>
    <m/>
    <m/>
    <m/>
  </r>
  <r>
    <n v="375"/>
    <x v="22"/>
    <s v="Female"/>
    <x v="5"/>
    <x v="3"/>
    <n v="117989"/>
    <n v="3"/>
    <n v="4"/>
    <s v="No"/>
    <s v="No"/>
    <s v="Finance"/>
    <x v="8"/>
    <m/>
    <m/>
    <m/>
    <x v="6"/>
    <m/>
    <m/>
    <m/>
  </r>
  <r>
    <n v="376"/>
    <x v="22"/>
    <s v="Female"/>
    <x v="4"/>
    <x v="4"/>
    <n v="77003"/>
    <n v="19"/>
    <n v="4"/>
    <s v="Yes"/>
    <s v="Yes"/>
    <s v="Life Sciences"/>
    <x v="8"/>
    <m/>
    <m/>
    <m/>
    <x v="6"/>
    <m/>
    <m/>
    <m/>
  </r>
  <r>
    <n v="377"/>
    <x v="21"/>
    <s v="Female"/>
    <x v="3"/>
    <x v="3"/>
    <n v="105507"/>
    <n v="10"/>
    <n v="1"/>
    <s v="Yes"/>
    <s v="Yes"/>
    <s v="Marketing"/>
    <x v="8"/>
    <m/>
    <m/>
    <m/>
    <x v="6"/>
    <m/>
    <m/>
    <m/>
  </r>
  <r>
    <n v="378"/>
    <x v="23"/>
    <s v="Male"/>
    <x v="4"/>
    <x v="1"/>
    <n v="51745"/>
    <n v="9"/>
    <n v="3"/>
    <s v="No"/>
    <s v="No"/>
    <s v="Finance"/>
    <x v="8"/>
    <m/>
    <m/>
    <m/>
    <x v="6"/>
    <m/>
    <m/>
    <m/>
  </r>
  <r>
    <n v="379"/>
    <x v="27"/>
    <s v="Male"/>
    <x v="4"/>
    <x v="2"/>
    <n v="110525"/>
    <n v="8"/>
    <n v="2"/>
    <s v="No"/>
    <s v="No"/>
    <s v="Finance"/>
    <x v="8"/>
    <m/>
    <m/>
    <m/>
    <x v="6"/>
    <m/>
    <m/>
    <m/>
  </r>
  <r>
    <n v="380"/>
    <x v="9"/>
    <s v="Male"/>
    <x v="2"/>
    <x v="3"/>
    <n v="64009"/>
    <n v="16"/>
    <n v="4"/>
    <s v="No"/>
    <s v="Yes"/>
    <s v="Technical"/>
    <x v="8"/>
    <m/>
    <m/>
    <m/>
    <x v="6"/>
    <m/>
    <m/>
    <m/>
  </r>
  <r>
    <n v="381"/>
    <x v="12"/>
    <s v="Male"/>
    <x v="2"/>
    <x v="1"/>
    <n v="18794"/>
    <n v="18"/>
    <n v="1"/>
    <s v="Yes"/>
    <s v="Yes"/>
    <s v="Finance"/>
    <x v="8"/>
    <m/>
    <m/>
    <m/>
    <x v="6"/>
    <m/>
    <m/>
    <m/>
  </r>
  <r>
    <n v="382"/>
    <x v="8"/>
    <s v="Female"/>
    <x v="1"/>
    <x v="2"/>
    <n v="107357"/>
    <n v="11"/>
    <n v="1"/>
    <s v="No"/>
    <s v="Yes"/>
    <s v="Life Sciences"/>
    <x v="8"/>
    <m/>
    <m/>
    <m/>
    <x v="6"/>
    <m/>
    <m/>
    <m/>
  </r>
  <r>
    <n v="383"/>
    <x v="13"/>
    <s v="Female"/>
    <x v="1"/>
    <x v="4"/>
    <n v="79066"/>
    <n v="11"/>
    <n v="3"/>
    <s v="Yes"/>
    <s v="No"/>
    <s v="Marketing"/>
    <x v="8"/>
    <m/>
    <m/>
    <m/>
    <x v="6"/>
    <m/>
    <m/>
    <m/>
  </r>
  <r>
    <n v="384"/>
    <x v="18"/>
    <s v="Female"/>
    <x v="2"/>
    <x v="1"/>
    <n v="113167"/>
    <n v="8"/>
    <n v="2"/>
    <s v="No"/>
    <s v="Yes"/>
    <s v="Technical"/>
    <x v="8"/>
    <m/>
    <m/>
    <m/>
    <x v="6"/>
    <m/>
    <m/>
    <m/>
  </r>
  <r>
    <n v="385"/>
    <x v="15"/>
    <s v="Male"/>
    <x v="5"/>
    <x v="1"/>
    <n v="50269"/>
    <n v="6"/>
    <n v="2"/>
    <s v="No"/>
    <s v="No"/>
    <s v="HR"/>
    <x v="8"/>
    <m/>
    <m/>
    <m/>
    <x v="6"/>
    <m/>
    <m/>
    <m/>
  </r>
  <r>
    <n v="386"/>
    <x v="34"/>
    <s v="Female"/>
    <x v="5"/>
    <x v="2"/>
    <n v="48081"/>
    <n v="7"/>
    <n v="3"/>
    <s v="No"/>
    <s v="No"/>
    <s v="Finance"/>
    <x v="8"/>
    <m/>
    <m/>
    <m/>
    <x v="6"/>
    <m/>
    <m/>
    <m/>
  </r>
  <r>
    <n v="387"/>
    <x v="4"/>
    <s v="Female"/>
    <x v="1"/>
    <x v="0"/>
    <n v="76171"/>
    <n v="6"/>
    <n v="1"/>
    <s v="No"/>
    <s v="No"/>
    <s v="HR"/>
    <x v="8"/>
    <m/>
    <m/>
    <m/>
    <x v="6"/>
    <m/>
    <m/>
    <m/>
  </r>
  <r>
    <n v="388"/>
    <x v="5"/>
    <s v="Male"/>
    <x v="5"/>
    <x v="0"/>
    <n v="99848"/>
    <n v="17"/>
    <n v="3"/>
    <s v="No"/>
    <s v="No"/>
    <s v="Marketing"/>
    <x v="8"/>
    <m/>
    <m/>
    <m/>
    <x v="6"/>
    <m/>
    <m/>
    <m/>
  </r>
  <r>
    <n v="389"/>
    <x v="27"/>
    <s v="Male"/>
    <x v="2"/>
    <x v="4"/>
    <n v="49229"/>
    <n v="8"/>
    <n v="4"/>
    <s v="Yes"/>
    <s v="No"/>
    <s v="Marketing"/>
    <x v="8"/>
    <m/>
    <m/>
    <m/>
    <x v="6"/>
    <m/>
    <m/>
    <m/>
  </r>
  <r>
    <n v="390"/>
    <x v="25"/>
    <s v="Female"/>
    <x v="5"/>
    <x v="2"/>
    <n v="100904"/>
    <n v="0"/>
    <n v="4"/>
    <s v="No"/>
    <s v="No"/>
    <s v="Life Sciences"/>
    <x v="8"/>
    <m/>
    <m/>
    <m/>
    <x v="6"/>
    <m/>
    <m/>
    <m/>
  </r>
  <r>
    <n v="391"/>
    <x v="20"/>
    <s v="Male"/>
    <x v="0"/>
    <x v="4"/>
    <n v="39892"/>
    <n v="18"/>
    <n v="4"/>
    <s v="No"/>
    <s v="No"/>
    <s v="Marketing"/>
    <x v="8"/>
    <m/>
    <m/>
    <m/>
    <x v="6"/>
    <m/>
    <m/>
    <m/>
  </r>
  <r>
    <n v="392"/>
    <x v="24"/>
    <s v="Female"/>
    <x v="4"/>
    <x v="5"/>
    <n v="37280"/>
    <n v="9"/>
    <n v="3"/>
    <s v="No"/>
    <s v="Yes"/>
    <s v="HR"/>
    <x v="8"/>
    <m/>
    <m/>
    <m/>
    <x v="6"/>
    <m/>
    <m/>
    <m/>
  </r>
  <r>
    <n v="393"/>
    <x v="11"/>
    <s v="Male"/>
    <x v="0"/>
    <x v="3"/>
    <n v="100778"/>
    <n v="10"/>
    <n v="4"/>
    <s v="Yes"/>
    <s v="Yes"/>
    <s v="Marketing"/>
    <x v="8"/>
    <m/>
    <m/>
    <m/>
    <x v="6"/>
    <m/>
    <m/>
    <m/>
  </r>
  <r>
    <n v="394"/>
    <x v="5"/>
    <s v="Male"/>
    <x v="5"/>
    <x v="0"/>
    <n v="91751"/>
    <n v="8"/>
    <n v="1"/>
    <s v="No"/>
    <s v="No"/>
    <s v="Finance"/>
    <x v="8"/>
    <m/>
    <m/>
    <m/>
    <x v="6"/>
    <m/>
    <m/>
    <m/>
  </r>
  <r>
    <n v="395"/>
    <x v="19"/>
    <s v="Female"/>
    <x v="2"/>
    <x v="1"/>
    <n v="30704"/>
    <n v="16"/>
    <n v="2"/>
    <s v="No"/>
    <s v="No"/>
    <s v="Technical"/>
    <x v="8"/>
    <m/>
    <m/>
    <m/>
    <x v="6"/>
    <m/>
    <m/>
    <m/>
  </r>
  <r>
    <n v="396"/>
    <x v="28"/>
    <s v="Male"/>
    <x v="2"/>
    <x v="2"/>
    <n v="89632"/>
    <n v="13"/>
    <n v="3"/>
    <s v="Yes"/>
    <s v="No"/>
    <s v="Technical"/>
    <x v="8"/>
    <m/>
    <m/>
    <m/>
    <x v="6"/>
    <m/>
    <m/>
    <m/>
  </r>
  <r>
    <n v="397"/>
    <x v="27"/>
    <s v="Male"/>
    <x v="4"/>
    <x v="4"/>
    <n v="22603"/>
    <n v="20"/>
    <n v="2"/>
    <s v="No"/>
    <s v="Yes"/>
    <s v="Finance"/>
    <x v="8"/>
    <m/>
    <m/>
    <m/>
    <x v="6"/>
    <m/>
    <m/>
    <m/>
  </r>
  <r>
    <n v="398"/>
    <x v="38"/>
    <s v="Female"/>
    <x v="5"/>
    <x v="2"/>
    <n v="95541"/>
    <n v="4"/>
    <n v="4"/>
    <s v="No"/>
    <s v="No"/>
    <s v="Life Sciences"/>
    <x v="8"/>
    <m/>
    <m/>
    <m/>
    <x v="6"/>
    <m/>
    <m/>
    <m/>
  </r>
  <r>
    <n v="399"/>
    <x v="32"/>
    <s v="Female"/>
    <x v="1"/>
    <x v="1"/>
    <n v="41137"/>
    <n v="17"/>
    <n v="1"/>
    <s v="No"/>
    <s v="No"/>
    <s v="Life Sciences"/>
    <x v="8"/>
    <m/>
    <m/>
    <m/>
    <x v="6"/>
    <m/>
    <m/>
    <m/>
  </r>
  <r>
    <n v="400"/>
    <x v="13"/>
    <s v="Male"/>
    <x v="5"/>
    <x v="4"/>
    <n v="105901"/>
    <n v="7"/>
    <n v="3"/>
    <s v="No"/>
    <s v="No"/>
    <s v="Technical"/>
    <x v="8"/>
    <m/>
    <m/>
    <m/>
    <x v="6"/>
    <m/>
    <m/>
    <m/>
  </r>
  <r>
    <n v="401"/>
    <x v="36"/>
    <s v="Female"/>
    <x v="5"/>
    <x v="5"/>
    <n v="54085"/>
    <n v="1"/>
    <n v="2"/>
    <s v="No"/>
    <s v="No"/>
    <s v="Marketing"/>
    <x v="8"/>
    <m/>
    <m/>
    <m/>
    <x v="6"/>
    <m/>
    <m/>
    <m/>
  </r>
  <r>
    <n v="402"/>
    <x v="9"/>
    <s v="Female"/>
    <x v="2"/>
    <x v="1"/>
    <n v="113319"/>
    <n v="11"/>
    <n v="2"/>
    <s v="Yes"/>
    <s v="Yes"/>
    <s v="Technical"/>
    <x v="8"/>
    <m/>
    <m/>
    <m/>
    <x v="6"/>
    <m/>
    <m/>
    <m/>
  </r>
  <r>
    <n v="403"/>
    <x v="31"/>
    <s v="Male"/>
    <x v="5"/>
    <x v="5"/>
    <n v="92292"/>
    <n v="0"/>
    <n v="3"/>
    <s v="Yes"/>
    <s v="Yes"/>
    <s v="HR"/>
    <x v="8"/>
    <m/>
    <m/>
    <m/>
    <x v="6"/>
    <m/>
    <m/>
    <m/>
  </r>
  <r>
    <n v="404"/>
    <x v="8"/>
    <s v="Male"/>
    <x v="2"/>
    <x v="5"/>
    <n v="21286"/>
    <n v="19"/>
    <n v="1"/>
    <s v="No"/>
    <s v="Yes"/>
    <s v="Finance"/>
    <x v="8"/>
    <m/>
    <m/>
    <m/>
    <x v="6"/>
    <m/>
    <m/>
    <m/>
  </r>
  <r>
    <n v="405"/>
    <x v="2"/>
    <s v="Male"/>
    <x v="4"/>
    <x v="5"/>
    <n v="31199"/>
    <n v="12"/>
    <n v="1"/>
    <s v="No"/>
    <s v="No"/>
    <s v="Marketing"/>
    <x v="8"/>
    <m/>
    <m/>
    <m/>
    <x v="6"/>
    <m/>
    <m/>
    <m/>
  </r>
  <r>
    <n v="406"/>
    <x v="33"/>
    <s v="Male"/>
    <x v="5"/>
    <x v="0"/>
    <n v="101832"/>
    <n v="3"/>
    <n v="1"/>
    <s v="No"/>
    <s v="No"/>
    <s v="Marketing"/>
    <x v="8"/>
    <m/>
    <m/>
    <m/>
    <x v="6"/>
    <m/>
    <m/>
    <m/>
  </r>
  <r>
    <n v="407"/>
    <x v="0"/>
    <s v="Female"/>
    <x v="1"/>
    <x v="1"/>
    <n v="80239"/>
    <n v="3"/>
    <n v="3"/>
    <s v="No"/>
    <s v="Yes"/>
    <s v="Finance"/>
    <x v="8"/>
    <m/>
    <m/>
    <m/>
    <x v="6"/>
    <m/>
    <m/>
    <m/>
  </r>
  <r>
    <n v="408"/>
    <x v="37"/>
    <s v="Female"/>
    <x v="3"/>
    <x v="1"/>
    <n v="20164"/>
    <n v="5"/>
    <n v="1"/>
    <s v="No"/>
    <s v="No"/>
    <s v="Life Sciences"/>
    <x v="8"/>
    <m/>
    <m/>
    <m/>
    <x v="6"/>
    <m/>
    <m/>
    <m/>
  </r>
  <r>
    <n v="409"/>
    <x v="38"/>
    <s v="Male"/>
    <x v="1"/>
    <x v="0"/>
    <n v="90255"/>
    <n v="3"/>
    <n v="1"/>
    <s v="Yes"/>
    <s v="No"/>
    <s v="Marketing"/>
    <x v="8"/>
    <m/>
    <m/>
    <m/>
    <x v="6"/>
    <m/>
    <m/>
    <m/>
  </r>
  <r>
    <n v="410"/>
    <x v="15"/>
    <s v="Male"/>
    <x v="4"/>
    <x v="0"/>
    <n v="53800"/>
    <n v="14"/>
    <n v="3"/>
    <s v="No"/>
    <s v="No"/>
    <s v="Marketing"/>
    <x v="8"/>
    <m/>
    <m/>
    <m/>
    <x v="6"/>
    <m/>
    <m/>
    <m/>
  </r>
  <r>
    <n v="411"/>
    <x v="27"/>
    <s v="Male"/>
    <x v="2"/>
    <x v="1"/>
    <n v="111801"/>
    <n v="13"/>
    <n v="2"/>
    <s v="Yes"/>
    <s v="Yes"/>
    <s v="Marketing"/>
    <x v="8"/>
    <m/>
    <m/>
    <m/>
    <x v="6"/>
    <m/>
    <m/>
    <m/>
  </r>
  <r>
    <n v="412"/>
    <x v="26"/>
    <s v="Male"/>
    <x v="3"/>
    <x v="3"/>
    <n v="96501"/>
    <n v="14"/>
    <n v="2"/>
    <s v="No"/>
    <s v="No"/>
    <s v="Life Sciences"/>
    <x v="8"/>
    <m/>
    <m/>
    <m/>
    <x v="6"/>
    <m/>
    <m/>
    <m/>
  </r>
  <r>
    <n v="413"/>
    <x v="21"/>
    <s v="Female"/>
    <x v="5"/>
    <x v="5"/>
    <n v="74839"/>
    <n v="12"/>
    <n v="2"/>
    <s v="No"/>
    <s v="No"/>
    <s v="Life Sciences"/>
    <x v="8"/>
    <m/>
    <m/>
    <m/>
    <x v="6"/>
    <m/>
    <m/>
    <m/>
  </r>
  <r>
    <n v="414"/>
    <x v="25"/>
    <s v="Female"/>
    <x v="1"/>
    <x v="5"/>
    <n v="35892"/>
    <n v="1"/>
    <n v="4"/>
    <s v="Yes"/>
    <s v="Yes"/>
    <s v="Technical"/>
    <x v="8"/>
    <m/>
    <m/>
    <m/>
    <x v="6"/>
    <m/>
    <m/>
    <m/>
  </r>
  <r>
    <n v="415"/>
    <x v="6"/>
    <s v="Male"/>
    <x v="5"/>
    <x v="2"/>
    <n v="95131"/>
    <n v="11"/>
    <n v="1"/>
    <s v="No"/>
    <s v="Yes"/>
    <s v="Finance"/>
    <x v="8"/>
    <m/>
    <m/>
    <m/>
    <x v="6"/>
    <m/>
    <m/>
    <m/>
  </r>
  <r>
    <n v="416"/>
    <x v="2"/>
    <s v="Male"/>
    <x v="0"/>
    <x v="5"/>
    <n v="23301"/>
    <n v="1"/>
    <n v="2"/>
    <s v="No"/>
    <s v="No"/>
    <s v="Marketing"/>
    <x v="8"/>
    <m/>
    <m/>
    <m/>
    <x v="6"/>
    <m/>
    <m/>
    <m/>
  </r>
  <r>
    <n v="417"/>
    <x v="12"/>
    <s v="Male"/>
    <x v="5"/>
    <x v="3"/>
    <n v="105209"/>
    <n v="16"/>
    <n v="4"/>
    <s v="No"/>
    <s v="Yes"/>
    <s v="Technical"/>
    <x v="8"/>
    <m/>
    <m/>
    <m/>
    <x v="6"/>
    <m/>
    <m/>
    <m/>
  </r>
  <r>
    <n v="418"/>
    <x v="14"/>
    <s v="Male"/>
    <x v="1"/>
    <x v="2"/>
    <n v="22152"/>
    <n v="19"/>
    <n v="4"/>
    <s v="No"/>
    <s v="Yes"/>
    <s v="Technical"/>
    <x v="8"/>
    <m/>
    <m/>
    <m/>
    <x v="6"/>
    <m/>
    <m/>
    <m/>
  </r>
  <r>
    <n v="419"/>
    <x v="36"/>
    <s v="Female"/>
    <x v="2"/>
    <x v="4"/>
    <n v="57026"/>
    <n v="15"/>
    <n v="2"/>
    <s v="No"/>
    <s v="Yes"/>
    <s v="HR"/>
    <x v="8"/>
    <m/>
    <m/>
    <m/>
    <x v="6"/>
    <m/>
    <m/>
    <m/>
  </r>
  <r>
    <n v="420"/>
    <x v="6"/>
    <s v="Female"/>
    <x v="2"/>
    <x v="2"/>
    <n v="45801"/>
    <n v="12"/>
    <n v="4"/>
    <s v="No"/>
    <s v="Yes"/>
    <s v="Marketing"/>
    <x v="8"/>
    <m/>
    <m/>
    <m/>
    <x v="6"/>
    <m/>
    <m/>
    <m/>
  </r>
  <r>
    <n v="421"/>
    <x v="0"/>
    <s v="Female"/>
    <x v="2"/>
    <x v="4"/>
    <n v="112679"/>
    <n v="15"/>
    <n v="1"/>
    <s v="Yes"/>
    <s v="Yes"/>
    <s v="Life Sciences"/>
    <x v="8"/>
    <m/>
    <m/>
    <m/>
    <x v="6"/>
    <m/>
    <m/>
    <m/>
  </r>
  <r>
    <n v="422"/>
    <x v="7"/>
    <s v="Male"/>
    <x v="0"/>
    <x v="5"/>
    <n v="98563"/>
    <n v="19"/>
    <n v="4"/>
    <s v="No"/>
    <s v="No"/>
    <s v="Marketing"/>
    <x v="8"/>
    <m/>
    <m/>
    <m/>
    <x v="6"/>
    <m/>
    <m/>
    <m/>
  </r>
  <r>
    <n v="423"/>
    <x v="5"/>
    <s v="Female"/>
    <x v="0"/>
    <x v="5"/>
    <n v="44218"/>
    <n v="1"/>
    <n v="3"/>
    <s v="No"/>
    <s v="No"/>
    <s v="Finance"/>
    <x v="8"/>
    <m/>
    <m/>
    <m/>
    <x v="6"/>
    <m/>
    <m/>
    <m/>
  </r>
  <r>
    <n v="424"/>
    <x v="0"/>
    <s v="Female"/>
    <x v="0"/>
    <x v="3"/>
    <n v="114525"/>
    <n v="3"/>
    <n v="3"/>
    <s v="Yes"/>
    <s v="Yes"/>
    <s v="Life Sciences"/>
    <x v="8"/>
    <m/>
    <m/>
    <m/>
    <x v="6"/>
    <m/>
    <m/>
    <m/>
  </r>
  <r>
    <n v="425"/>
    <x v="32"/>
    <s v="Female"/>
    <x v="2"/>
    <x v="3"/>
    <n v="79542"/>
    <n v="5"/>
    <n v="2"/>
    <s v="No"/>
    <s v="Yes"/>
    <s v="Technical"/>
    <x v="8"/>
    <m/>
    <m/>
    <m/>
    <x v="6"/>
    <m/>
    <m/>
    <m/>
  </r>
  <r>
    <n v="426"/>
    <x v="0"/>
    <s v="Male"/>
    <x v="0"/>
    <x v="3"/>
    <n v="43257"/>
    <n v="12"/>
    <n v="1"/>
    <s v="No"/>
    <s v="No"/>
    <s v="Finance"/>
    <x v="8"/>
    <m/>
    <m/>
    <m/>
    <x v="6"/>
    <m/>
    <m/>
    <m/>
  </r>
  <r>
    <n v="427"/>
    <x v="32"/>
    <s v="Female"/>
    <x v="5"/>
    <x v="5"/>
    <n v="103098"/>
    <n v="20"/>
    <n v="2"/>
    <s v="No"/>
    <s v="Yes"/>
    <s v="Finance"/>
    <x v="8"/>
    <m/>
    <m/>
    <m/>
    <x v="6"/>
    <m/>
    <m/>
    <m/>
  </r>
  <r>
    <n v="428"/>
    <x v="34"/>
    <s v="Female"/>
    <x v="1"/>
    <x v="2"/>
    <n v="111497"/>
    <n v="16"/>
    <n v="2"/>
    <s v="No"/>
    <s v="Yes"/>
    <s v="HR"/>
    <x v="8"/>
    <m/>
    <m/>
    <m/>
    <x v="6"/>
    <m/>
    <m/>
    <m/>
  </r>
  <r>
    <n v="429"/>
    <x v="11"/>
    <s v="Female"/>
    <x v="1"/>
    <x v="2"/>
    <n v="28573"/>
    <n v="4"/>
    <n v="4"/>
    <s v="No"/>
    <s v="No"/>
    <s v="HR"/>
    <x v="8"/>
    <m/>
    <m/>
    <m/>
    <x v="6"/>
    <m/>
    <m/>
    <m/>
  </r>
  <r>
    <n v="430"/>
    <x v="13"/>
    <s v="Female"/>
    <x v="4"/>
    <x v="1"/>
    <n v="67149"/>
    <n v="8"/>
    <n v="4"/>
    <s v="No"/>
    <s v="No"/>
    <s v="HR"/>
    <x v="8"/>
    <m/>
    <m/>
    <m/>
    <x v="6"/>
    <m/>
    <m/>
    <m/>
  </r>
  <r>
    <n v="431"/>
    <x v="24"/>
    <s v="Male"/>
    <x v="4"/>
    <x v="1"/>
    <n v="106946"/>
    <n v="9"/>
    <n v="3"/>
    <s v="No"/>
    <s v="No"/>
    <s v="Marketing"/>
    <x v="8"/>
    <m/>
    <m/>
    <m/>
    <x v="6"/>
    <m/>
    <m/>
    <m/>
  </r>
  <r>
    <n v="432"/>
    <x v="25"/>
    <s v="Female"/>
    <x v="1"/>
    <x v="2"/>
    <n v="38306"/>
    <n v="20"/>
    <n v="4"/>
    <s v="No"/>
    <s v="No"/>
    <s v="HR"/>
    <x v="8"/>
    <m/>
    <m/>
    <m/>
    <x v="6"/>
    <m/>
    <m/>
    <m/>
  </r>
  <r>
    <n v="433"/>
    <x v="37"/>
    <s v="Male"/>
    <x v="2"/>
    <x v="5"/>
    <n v="16673"/>
    <n v="13"/>
    <n v="1"/>
    <s v="Yes"/>
    <s v="Yes"/>
    <s v="Technical"/>
    <x v="8"/>
    <m/>
    <m/>
    <m/>
    <x v="6"/>
    <m/>
    <m/>
    <m/>
  </r>
  <r>
    <n v="434"/>
    <x v="10"/>
    <s v="Male"/>
    <x v="0"/>
    <x v="3"/>
    <n v="52567"/>
    <n v="5"/>
    <n v="2"/>
    <s v="Yes"/>
    <s v="No"/>
    <s v="HR"/>
    <x v="8"/>
    <m/>
    <m/>
    <m/>
    <x v="6"/>
    <m/>
    <m/>
    <m/>
  </r>
  <r>
    <n v="435"/>
    <x v="32"/>
    <s v="Male"/>
    <x v="0"/>
    <x v="5"/>
    <n v="74322"/>
    <n v="11"/>
    <n v="4"/>
    <s v="No"/>
    <s v="Yes"/>
    <s v="Technical"/>
    <x v="8"/>
    <m/>
    <m/>
    <m/>
    <x v="6"/>
    <m/>
    <m/>
    <m/>
  </r>
  <r>
    <n v="436"/>
    <x v="24"/>
    <s v="Female"/>
    <x v="5"/>
    <x v="5"/>
    <n v="105824"/>
    <n v="9"/>
    <n v="3"/>
    <s v="No"/>
    <s v="Yes"/>
    <s v="HR"/>
    <x v="8"/>
    <m/>
    <m/>
    <m/>
    <x v="6"/>
    <m/>
    <m/>
    <m/>
  </r>
  <r>
    <n v="437"/>
    <x v="8"/>
    <s v="Female"/>
    <x v="4"/>
    <x v="5"/>
    <n v="112474"/>
    <n v="0"/>
    <n v="3"/>
    <s v="Yes"/>
    <s v="No"/>
    <s v="HR"/>
    <x v="8"/>
    <m/>
    <m/>
    <m/>
    <x v="6"/>
    <m/>
    <m/>
    <m/>
  </r>
  <r>
    <n v="438"/>
    <x v="17"/>
    <s v="Male"/>
    <x v="0"/>
    <x v="0"/>
    <n v="40751"/>
    <n v="19"/>
    <n v="2"/>
    <s v="No"/>
    <s v="Yes"/>
    <s v="Technical"/>
    <x v="8"/>
    <m/>
    <m/>
    <m/>
    <x v="6"/>
    <m/>
    <m/>
    <m/>
  </r>
  <r>
    <n v="439"/>
    <x v="24"/>
    <s v="Female"/>
    <x v="4"/>
    <x v="1"/>
    <n v="64440"/>
    <n v="3"/>
    <n v="3"/>
    <s v="No"/>
    <s v="Yes"/>
    <s v="Life Sciences"/>
    <x v="8"/>
    <m/>
    <m/>
    <m/>
    <x v="6"/>
    <m/>
    <m/>
    <m/>
  </r>
  <r>
    <n v="440"/>
    <x v="28"/>
    <s v="Female"/>
    <x v="1"/>
    <x v="0"/>
    <n v="108020"/>
    <n v="14"/>
    <n v="3"/>
    <s v="Yes"/>
    <s v="Yes"/>
    <s v="Finance"/>
    <x v="8"/>
    <m/>
    <m/>
    <m/>
    <x v="6"/>
    <m/>
    <m/>
    <m/>
  </r>
  <r>
    <n v="441"/>
    <x v="22"/>
    <s v="Female"/>
    <x v="1"/>
    <x v="1"/>
    <n v="61934"/>
    <n v="17"/>
    <n v="2"/>
    <s v="No"/>
    <s v="Yes"/>
    <s v="HR"/>
    <x v="8"/>
    <m/>
    <m/>
    <m/>
    <x v="6"/>
    <m/>
    <m/>
    <m/>
  </r>
  <r>
    <n v="442"/>
    <x v="36"/>
    <s v="Female"/>
    <x v="2"/>
    <x v="3"/>
    <n v="35889"/>
    <n v="16"/>
    <n v="2"/>
    <s v="No"/>
    <s v="No"/>
    <s v="Technical"/>
    <x v="8"/>
    <m/>
    <m/>
    <m/>
    <x v="6"/>
    <m/>
    <m/>
    <m/>
  </r>
  <r>
    <n v="443"/>
    <x v="28"/>
    <s v="Female"/>
    <x v="1"/>
    <x v="5"/>
    <n v="62290"/>
    <n v="10"/>
    <n v="1"/>
    <s v="Yes"/>
    <s v="No"/>
    <s v="Life Sciences"/>
    <x v="8"/>
    <m/>
    <m/>
    <m/>
    <x v="6"/>
    <m/>
    <m/>
    <m/>
  </r>
  <r>
    <n v="444"/>
    <x v="26"/>
    <s v="Female"/>
    <x v="5"/>
    <x v="0"/>
    <n v="46502"/>
    <n v="14"/>
    <n v="4"/>
    <s v="No"/>
    <s v="Yes"/>
    <s v="Marketing"/>
    <x v="8"/>
    <m/>
    <m/>
    <m/>
    <x v="6"/>
    <m/>
    <m/>
    <m/>
  </r>
  <r>
    <n v="445"/>
    <x v="17"/>
    <s v="Female"/>
    <x v="5"/>
    <x v="0"/>
    <n v="18238"/>
    <n v="9"/>
    <n v="3"/>
    <s v="No"/>
    <s v="No"/>
    <s v="Technical"/>
    <x v="8"/>
    <m/>
    <m/>
    <m/>
    <x v="6"/>
    <m/>
    <m/>
    <m/>
  </r>
  <r>
    <n v="446"/>
    <x v="27"/>
    <s v="Male"/>
    <x v="0"/>
    <x v="0"/>
    <n v="25793"/>
    <n v="16"/>
    <n v="2"/>
    <s v="Yes"/>
    <s v="Yes"/>
    <s v="Technical"/>
    <x v="8"/>
    <m/>
    <m/>
    <m/>
    <x v="6"/>
    <m/>
    <m/>
    <m/>
  </r>
  <r>
    <n v="447"/>
    <x v="1"/>
    <s v="Male"/>
    <x v="0"/>
    <x v="5"/>
    <n v="41945"/>
    <n v="3"/>
    <n v="2"/>
    <s v="No"/>
    <s v="No"/>
    <s v="Life Sciences"/>
    <x v="8"/>
    <m/>
    <m/>
    <m/>
    <x v="6"/>
    <m/>
    <m/>
    <m/>
  </r>
  <r>
    <n v="448"/>
    <x v="29"/>
    <s v="Male"/>
    <x v="3"/>
    <x v="4"/>
    <n v="19965"/>
    <n v="10"/>
    <n v="1"/>
    <s v="Yes"/>
    <s v="Yes"/>
    <s v="HR"/>
    <x v="8"/>
    <m/>
    <m/>
    <m/>
    <x v="6"/>
    <m/>
    <m/>
    <m/>
  </r>
  <r>
    <n v="449"/>
    <x v="15"/>
    <s v="Female"/>
    <x v="5"/>
    <x v="3"/>
    <n v="68429"/>
    <n v="8"/>
    <n v="1"/>
    <s v="No"/>
    <s v="No"/>
    <s v="Finance"/>
    <x v="8"/>
    <m/>
    <m/>
    <m/>
    <x v="6"/>
    <m/>
    <m/>
    <m/>
  </r>
  <r>
    <n v="450"/>
    <x v="0"/>
    <s v="Male"/>
    <x v="0"/>
    <x v="0"/>
    <n v="15773"/>
    <n v="17"/>
    <n v="3"/>
    <s v="No"/>
    <s v="Yes"/>
    <s v="HR"/>
    <x v="8"/>
    <m/>
    <m/>
    <m/>
    <x v="6"/>
    <m/>
    <m/>
    <m/>
  </r>
  <r>
    <n v="451"/>
    <x v="16"/>
    <s v="Female"/>
    <x v="5"/>
    <x v="2"/>
    <n v="118139"/>
    <n v="9"/>
    <n v="4"/>
    <s v="No"/>
    <s v="No"/>
    <s v="Life Sciences"/>
    <x v="8"/>
    <m/>
    <m/>
    <m/>
    <x v="6"/>
    <m/>
    <m/>
    <m/>
  </r>
  <r>
    <n v="452"/>
    <x v="35"/>
    <s v="Female"/>
    <x v="1"/>
    <x v="3"/>
    <n v="84922"/>
    <n v="5"/>
    <n v="2"/>
    <s v="Yes"/>
    <s v="Yes"/>
    <s v="Marketing"/>
    <x v="8"/>
    <m/>
    <m/>
    <m/>
    <x v="6"/>
    <m/>
    <m/>
    <m/>
  </r>
  <r>
    <n v="453"/>
    <x v="5"/>
    <s v="Male"/>
    <x v="1"/>
    <x v="4"/>
    <n v="87551"/>
    <n v="0"/>
    <n v="4"/>
    <s v="Yes"/>
    <s v="Yes"/>
    <s v="HR"/>
    <x v="8"/>
    <m/>
    <m/>
    <m/>
    <x v="6"/>
    <m/>
    <m/>
    <m/>
  </r>
  <r>
    <n v="454"/>
    <x v="14"/>
    <s v="Female"/>
    <x v="4"/>
    <x v="2"/>
    <n v="54936"/>
    <n v="2"/>
    <n v="2"/>
    <s v="No"/>
    <s v="Yes"/>
    <s v="Technical"/>
    <x v="8"/>
    <m/>
    <m/>
    <m/>
    <x v="6"/>
    <m/>
    <m/>
    <m/>
  </r>
  <r>
    <n v="455"/>
    <x v="11"/>
    <s v="Male"/>
    <x v="0"/>
    <x v="4"/>
    <n v="95856"/>
    <n v="7"/>
    <n v="1"/>
    <s v="Yes"/>
    <s v="No"/>
    <s v="HR"/>
    <x v="8"/>
    <m/>
    <m/>
    <m/>
    <x v="6"/>
    <m/>
    <m/>
    <m/>
  </r>
  <r>
    <n v="456"/>
    <x v="29"/>
    <s v="Male"/>
    <x v="3"/>
    <x v="0"/>
    <n v="87045"/>
    <n v="20"/>
    <n v="2"/>
    <s v="No"/>
    <s v="Yes"/>
    <s v="HR"/>
    <x v="8"/>
    <m/>
    <m/>
    <m/>
    <x v="6"/>
    <m/>
    <m/>
    <m/>
  </r>
  <r>
    <n v="457"/>
    <x v="9"/>
    <s v="Male"/>
    <x v="2"/>
    <x v="3"/>
    <n v="61810"/>
    <n v="10"/>
    <n v="1"/>
    <s v="No"/>
    <s v="Yes"/>
    <s v="Technical"/>
    <x v="8"/>
    <m/>
    <m/>
    <m/>
    <x v="6"/>
    <m/>
    <m/>
    <m/>
  </r>
  <r>
    <n v="458"/>
    <x v="27"/>
    <s v="Female"/>
    <x v="0"/>
    <x v="4"/>
    <n v="74067"/>
    <n v="15"/>
    <n v="2"/>
    <s v="No"/>
    <s v="No"/>
    <s v="HR"/>
    <x v="8"/>
    <m/>
    <m/>
    <m/>
    <x v="6"/>
    <m/>
    <m/>
    <m/>
  </r>
  <r>
    <n v="459"/>
    <x v="22"/>
    <s v="Female"/>
    <x v="4"/>
    <x v="1"/>
    <n v="56462"/>
    <n v="11"/>
    <n v="4"/>
    <s v="Yes"/>
    <s v="No"/>
    <s v="Marketing"/>
    <x v="8"/>
    <m/>
    <m/>
    <m/>
    <x v="6"/>
    <m/>
    <m/>
    <m/>
  </r>
  <r>
    <n v="460"/>
    <x v="5"/>
    <s v="Female"/>
    <x v="5"/>
    <x v="3"/>
    <n v="104073"/>
    <n v="4"/>
    <n v="3"/>
    <s v="No"/>
    <s v="No"/>
    <s v="Finance"/>
    <x v="8"/>
    <m/>
    <m/>
    <m/>
    <x v="6"/>
    <m/>
    <m/>
    <m/>
  </r>
  <r>
    <n v="461"/>
    <x v="14"/>
    <s v="Male"/>
    <x v="1"/>
    <x v="1"/>
    <n v="38038"/>
    <n v="3"/>
    <n v="3"/>
    <s v="No"/>
    <s v="Yes"/>
    <s v="Life Sciences"/>
    <x v="8"/>
    <m/>
    <m/>
    <m/>
    <x v="6"/>
    <m/>
    <m/>
    <m/>
  </r>
  <r>
    <n v="462"/>
    <x v="36"/>
    <s v="Female"/>
    <x v="1"/>
    <x v="1"/>
    <n v="81476"/>
    <n v="0"/>
    <n v="1"/>
    <s v="No"/>
    <s v="Yes"/>
    <s v="HR"/>
    <x v="8"/>
    <m/>
    <m/>
    <m/>
    <x v="6"/>
    <m/>
    <m/>
    <m/>
  </r>
  <r>
    <n v="463"/>
    <x v="4"/>
    <s v="Male"/>
    <x v="3"/>
    <x v="2"/>
    <n v="85736"/>
    <n v="17"/>
    <n v="2"/>
    <s v="No"/>
    <s v="No"/>
    <s v="HR"/>
    <x v="8"/>
    <m/>
    <m/>
    <m/>
    <x v="6"/>
    <m/>
    <m/>
    <m/>
  </r>
  <r>
    <n v="464"/>
    <x v="37"/>
    <s v="Male"/>
    <x v="0"/>
    <x v="1"/>
    <n v="75909"/>
    <n v="4"/>
    <n v="2"/>
    <s v="No"/>
    <s v="Yes"/>
    <s v="HR"/>
    <x v="8"/>
    <m/>
    <m/>
    <m/>
    <x v="6"/>
    <m/>
    <m/>
    <m/>
  </r>
  <r>
    <n v="465"/>
    <x v="25"/>
    <s v="Male"/>
    <x v="0"/>
    <x v="5"/>
    <n v="35869"/>
    <n v="14"/>
    <n v="4"/>
    <s v="No"/>
    <s v="Yes"/>
    <s v="Marketing"/>
    <x v="8"/>
    <m/>
    <m/>
    <m/>
    <x v="6"/>
    <m/>
    <m/>
    <m/>
  </r>
  <r>
    <n v="466"/>
    <x v="32"/>
    <s v="Female"/>
    <x v="3"/>
    <x v="1"/>
    <n v="114807"/>
    <n v="7"/>
    <n v="1"/>
    <s v="Yes"/>
    <s v="No"/>
    <s v="Technical"/>
    <x v="8"/>
    <m/>
    <m/>
    <m/>
    <x v="6"/>
    <m/>
    <m/>
    <m/>
  </r>
  <r>
    <n v="467"/>
    <x v="12"/>
    <s v="Male"/>
    <x v="2"/>
    <x v="5"/>
    <n v="65868"/>
    <n v="11"/>
    <n v="3"/>
    <s v="No"/>
    <s v="No"/>
    <s v="Life Sciences"/>
    <x v="8"/>
    <m/>
    <m/>
    <m/>
    <x v="6"/>
    <m/>
    <m/>
    <m/>
  </r>
  <r>
    <n v="468"/>
    <x v="12"/>
    <s v="Male"/>
    <x v="5"/>
    <x v="5"/>
    <n v="50847"/>
    <n v="20"/>
    <n v="4"/>
    <s v="No"/>
    <s v="No"/>
    <s v="Marketing"/>
    <x v="8"/>
    <m/>
    <m/>
    <m/>
    <x v="6"/>
    <m/>
    <m/>
    <m/>
  </r>
  <r>
    <n v="469"/>
    <x v="20"/>
    <s v="Male"/>
    <x v="1"/>
    <x v="2"/>
    <n v="25202"/>
    <n v="20"/>
    <n v="3"/>
    <s v="No"/>
    <s v="No"/>
    <s v="Marketing"/>
    <x v="8"/>
    <m/>
    <m/>
    <m/>
    <x v="6"/>
    <m/>
    <m/>
    <m/>
  </r>
  <r>
    <n v="470"/>
    <x v="9"/>
    <s v="Male"/>
    <x v="5"/>
    <x v="1"/>
    <n v="94195"/>
    <n v="15"/>
    <n v="2"/>
    <s v="No"/>
    <s v="Yes"/>
    <s v="Life Sciences"/>
    <x v="8"/>
    <m/>
    <m/>
    <m/>
    <x v="6"/>
    <m/>
    <m/>
    <m/>
  </r>
  <r>
    <n v="471"/>
    <x v="24"/>
    <s v="Male"/>
    <x v="3"/>
    <x v="4"/>
    <n v="51806"/>
    <n v="20"/>
    <n v="1"/>
    <s v="Yes"/>
    <s v="Yes"/>
    <s v="Technical"/>
    <x v="8"/>
    <m/>
    <m/>
    <m/>
    <x v="6"/>
    <m/>
    <m/>
    <m/>
  </r>
  <r>
    <n v="472"/>
    <x v="33"/>
    <s v="Female"/>
    <x v="5"/>
    <x v="1"/>
    <n v="109405"/>
    <n v="10"/>
    <n v="2"/>
    <s v="No"/>
    <s v="Yes"/>
    <s v="Finance"/>
    <x v="8"/>
    <m/>
    <m/>
    <m/>
    <x v="6"/>
    <m/>
    <m/>
    <m/>
  </r>
  <r>
    <n v="473"/>
    <x v="30"/>
    <s v="Male"/>
    <x v="4"/>
    <x v="5"/>
    <n v="20655"/>
    <n v="7"/>
    <n v="1"/>
    <s v="No"/>
    <s v="Yes"/>
    <s v="HR"/>
    <x v="8"/>
    <m/>
    <m/>
    <m/>
    <x v="6"/>
    <m/>
    <m/>
    <m/>
  </r>
  <r>
    <n v="474"/>
    <x v="3"/>
    <s v="Female"/>
    <x v="1"/>
    <x v="4"/>
    <n v="36802"/>
    <n v="1"/>
    <n v="1"/>
    <s v="No"/>
    <s v="No"/>
    <s v="Marketing"/>
    <x v="8"/>
    <m/>
    <m/>
    <m/>
    <x v="6"/>
    <m/>
    <m/>
    <m/>
  </r>
  <r>
    <n v="475"/>
    <x v="38"/>
    <s v="Male"/>
    <x v="4"/>
    <x v="2"/>
    <n v="73877"/>
    <n v="6"/>
    <n v="2"/>
    <s v="No"/>
    <s v="No"/>
    <s v="HR"/>
    <x v="8"/>
    <m/>
    <m/>
    <m/>
    <x v="6"/>
    <m/>
    <m/>
    <m/>
  </r>
  <r>
    <n v="476"/>
    <x v="11"/>
    <s v="Female"/>
    <x v="5"/>
    <x v="4"/>
    <n v="101461"/>
    <n v="19"/>
    <n v="1"/>
    <s v="Yes"/>
    <s v="No"/>
    <s v="Technical"/>
    <x v="8"/>
    <m/>
    <m/>
    <m/>
    <x v="6"/>
    <m/>
    <m/>
    <m/>
  </r>
  <r>
    <n v="477"/>
    <x v="6"/>
    <s v="Female"/>
    <x v="4"/>
    <x v="4"/>
    <n v="32329"/>
    <n v="12"/>
    <n v="1"/>
    <s v="Yes"/>
    <s v="Yes"/>
    <s v="Technical"/>
    <x v="8"/>
    <m/>
    <m/>
    <m/>
    <x v="6"/>
    <m/>
    <m/>
    <m/>
  </r>
  <r>
    <n v="478"/>
    <x v="35"/>
    <s v="Male"/>
    <x v="2"/>
    <x v="2"/>
    <n v="93618"/>
    <n v="19"/>
    <n v="2"/>
    <s v="No"/>
    <s v="Yes"/>
    <s v="HR"/>
    <x v="8"/>
    <m/>
    <m/>
    <m/>
    <x v="6"/>
    <m/>
    <m/>
    <m/>
  </r>
  <r>
    <n v="479"/>
    <x v="17"/>
    <s v="Female"/>
    <x v="2"/>
    <x v="5"/>
    <n v="116563"/>
    <n v="0"/>
    <n v="4"/>
    <s v="No"/>
    <s v="No"/>
    <s v="Technical"/>
    <x v="8"/>
    <m/>
    <m/>
    <m/>
    <x v="6"/>
    <m/>
    <m/>
    <m/>
  </r>
  <r>
    <n v="480"/>
    <x v="35"/>
    <s v="Female"/>
    <x v="5"/>
    <x v="1"/>
    <n v="60943"/>
    <n v="12"/>
    <n v="1"/>
    <s v="No"/>
    <s v="Yes"/>
    <s v="Marketing"/>
    <x v="8"/>
    <m/>
    <m/>
    <m/>
    <x v="6"/>
    <m/>
    <m/>
    <m/>
  </r>
  <r>
    <n v="481"/>
    <x v="7"/>
    <s v="Male"/>
    <x v="1"/>
    <x v="4"/>
    <n v="68562"/>
    <n v="17"/>
    <n v="1"/>
    <s v="Yes"/>
    <s v="No"/>
    <s v="HR"/>
    <x v="8"/>
    <m/>
    <m/>
    <m/>
    <x v="6"/>
    <m/>
    <m/>
    <m/>
  </r>
  <r>
    <n v="482"/>
    <x v="34"/>
    <s v="Female"/>
    <x v="5"/>
    <x v="3"/>
    <n v="100792"/>
    <n v="12"/>
    <n v="1"/>
    <s v="No"/>
    <s v="Yes"/>
    <s v="Technical"/>
    <x v="8"/>
    <m/>
    <m/>
    <m/>
    <x v="6"/>
    <m/>
    <m/>
    <m/>
  </r>
  <r>
    <n v="483"/>
    <x v="1"/>
    <s v="Female"/>
    <x v="1"/>
    <x v="3"/>
    <n v="91725"/>
    <n v="20"/>
    <n v="3"/>
    <s v="No"/>
    <s v="No"/>
    <s v="Finance"/>
    <x v="8"/>
    <m/>
    <m/>
    <m/>
    <x v="6"/>
    <m/>
    <m/>
    <m/>
  </r>
  <r>
    <n v="484"/>
    <x v="31"/>
    <s v="Female"/>
    <x v="3"/>
    <x v="3"/>
    <n v="87365"/>
    <n v="13"/>
    <n v="3"/>
    <s v="Yes"/>
    <s v="No"/>
    <s v="Finance"/>
    <x v="8"/>
    <m/>
    <m/>
    <m/>
    <x v="6"/>
    <m/>
    <m/>
    <m/>
  </r>
  <r>
    <n v="485"/>
    <x v="25"/>
    <s v="Male"/>
    <x v="2"/>
    <x v="1"/>
    <n v="113017"/>
    <n v="3"/>
    <n v="4"/>
    <s v="No"/>
    <s v="Yes"/>
    <s v="Marketing"/>
    <x v="8"/>
    <m/>
    <m/>
    <m/>
    <x v="6"/>
    <m/>
    <m/>
    <m/>
  </r>
  <r>
    <n v="486"/>
    <x v="14"/>
    <s v="Male"/>
    <x v="2"/>
    <x v="1"/>
    <n v="106364"/>
    <n v="19"/>
    <n v="4"/>
    <s v="Yes"/>
    <s v="Yes"/>
    <s v="HR"/>
    <x v="8"/>
    <m/>
    <m/>
    <m/>
    <x v="6"/>
    <m/>
    <m/>
    <m/>
  </r>
  <r>
    <n v="487"/>
    <x v="1"/>
    <s v="Male"/>
    <x v="1"/>
    <x v="0"/>
    <n v="23399"/>
    <n v="2"/>
    <n v="4"/>
    <s v="Yes"/>
    <s v="No"/>
    <s v="Finance"/>
    <x v="8"/>
    <m/>
    <m/>
    <m/>
    <x v="6"/>
    <m/>
    <m/>
    <m/>
  </r>
  <r>
    <n v="488"/>
    <x v="12"/>
    <s v="Male"/>
    <x v="0"/>
    <x v="2"/>
    <n v="108271"/>
    <n v="9"/>
    <n v="4"/>
    <s v="No"/>
    <s v="Yes"/>
    <s v="Life Sciences"/>
    <x v="8"/>
    <m/>
    <m/>
    <m/>
    <x v="6"/>
    <m/>
    <m/>
    <m/>
  </r>
  <r>
    <n v="489"/>
    <x v="19"/>
    <s v="Male"/>
    <x v="1"/>
    <x v="1"/>
    <n v="52487"/>
    <n v="16"/>
    <n v="1"/>
    <s v="Yes"/>
    <s v="Yes"/>
    <s v="Marketing"/>
    <x v="8"/>
    <m/>
    <m/>
    <m/>
    <x v="6"/>
    <m/>
    <m/>
    <m/>
  </r>
  <r>
    <n v="490"/>
    <x v="13"/>
    <s v="Female"/>
    <x v="5"/>
    <x v="3"/>
    <n v="15037"/>
    <n v="20"/>
    <n v="4"/>
    <s v="Yes"/>
    <s v="Yes"/>
    <s v="Finance"/>
    <x v="8"/>
    <m/>
    <m/>
    <m/>
    <x v="6"/>
    <m/>
    <m/>
    <m/>
  </r>
  <r>
    <n v="491"/>
    <x v="20"/>
    <s v="Male"/>
    <x v="2"/>
    <x v="4"/>
    <n v="82861"/>
    <n v="6"/>
    <n v="3"/>
    <s v="No"/>
    <s v="Yes"/>
    <s v="HR"/>
    <x v="8"/>
    <m/>
    <m/>
    <m/>
    <x v="6"/>
    <m/>
    <m/>
    <m/>
  </r>
  <r>
    <n v="492"/>
    <x v="20"/>
    <s v="Male"/>
    <x v="5"/>
    <x v="2"/>
    <n v="60544"/>
    <n v="11"/>
    <n v="1"/>
    <s v="Yes"/>
    <s v="No"/>
    <s v="Marketing"/>
    <x v="8"/>
    <m/>
    <m/>
    <m/>
    <x v="6"/>
    <m/>
    <m/>
    <m/>
  </r>
  <r>
    <n v="493"/>
    <x v="11"/>
    <s v="Female"/>
    <x v="3"/>
    <x v="0"/>
    <n v="81353"/>
    <n v="13"/>
    <n v="3"/>
    <s v="No"/>
    <s v="Yes"/>
    <s v="HR"/>
    <x v="8"/>
    <m/>
    <m/>
    <m/>
    <x v="6"/>
    <m/>
    <m/>
    <m/>
  </r>
  <r>
    <n v="494"/>
    <x v="22"/>
    <s v="Female"/>
    <x v="4"/>
    <x v="3"/>
    <n v="105989"/>
    <n v="8"/>
    <n v="4"/>
    <s v="No"/>
    <s v="No"/>
    <s v="Finance"/>
    <x v="8"/>
    <m/>
    <m/>
    <m/>
    <x v="6"/>
    <m/>
    <m/>
    <m/>
  </r>
  <r>
    <n v="495"/>
    <x v="20"/>
    <s v="Female"/>
    <x v="0"/>
    <x v="1"/>
    <n v="78172"/>
    <n v="0"/>
    <n v="2"/>
    <s v="Yes"/>
    <s v="Yes"/>
    <s v="Marketing"/>
    <x v="8"/>
    <m/>
    <m/>
    <m/>
    <x v="6"/>
    <m/>
    <m/>
    <m/>
  </r>
  <r>
    <n v="496"/>
    <x v="33"/>
    <s v="Female"/>
    <x v="4"/>
    <x v="3"/>
    <n v="82699"/>
    <n v="11"/>
    <n v="1"/>
    <s v="No"/>
    <s v="Yes"/>
    <s v="Finance"/>
    <x v="8"/>
    <m/>
    <m/>
    <m/>
    <x v="6"/>
    <m/>
    <m/>
    <m/>
  </r>
  <r>
    <n v="497"/>
    <x v="28"/>
    <s v="Female"/>
    <x v="4"/>
    <x v="4"/>
    <n v="87686"/>
    <n v="2"/>
    <n v="3"/>
    <s v="Yes"/>
    <s v="Yes"/>
    <s v="Technical"/>
    <x v="8"/>
    <m/>
    <m/>
    <m/>
    <x v="6"/>
    <m/>
    <m/>
    <m/>
  </r>
  <r>
    <n v="498"/>
    <x v="19"/>
    <s v="Male"/>
    <x v="3"/>
    <x v="1"/>
    <n v="111614"/>
    <n v="15"/>
    <n v="2"/>
    <s v="Yes"/>
    <s v="Yes"/>
    <s v="Technical"/>
    <x v="8"/>
    <m/>
    <m/>
    <m/>
    <x v="6"/>
    <m/>
    <m/>
    <m/>
  </r>
  <r>
    <n v="499"/>
    <x v="13"/>
    <s v="Male"/>
    <x v="2"/>
    <x v="5"/>
    <n v="61665"/>
    <n v="19"/>
    <n v="4"/>
    <s v="No"/>
    <s v="Yes"/>
    <s v="HR"/>
    <x v="8"/>
    <m/>
    <m/>
    <m/>
    <x v="6"/>
    <m/>
    <m/>
    <m/>
  </r>
  <r>
    <n v="500"/>
    <x v="34"/>
    <s v="Female"/>
    <x v="5"/>
    <x v="4"/>
    <n v="20539"/>
    <n v="17"/>
    <n v="3"/>
    <s v="No"/>
    <s v="No"/>
    <s v="Finance"/>
    <x v="8"/>
    <m/>
    <m/>
    <m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8DC4B-2657-4A9C-AD7C-776DC74F53A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A54" firstHeaderRow="1" firstDataRow="1" firstDataCol="0"/>
  <pivotFields count="19">
    <pivotField showAll="0"/>
    <pivotField dataField="1" showAll="0">
      <items count="40">
        <item x="34"/>
        <item x="30"/>
        <item x="32"/>
        <item x="8"/>
        <item x="36"/>
        <item x="38"/>
        <item x="16"/>
        <item x="0"/>
        <item x="25"/>
        <item x="3"/>
        <item x="18"/>
        <item x="11"/>
        <item x="19"/>
        <item x="31"/>
        <item x="15"/>
        <item x="13"/>
        <item x="4"/>
        <item x="10"/>
        <item x="37"/>
        <item x="23"/>
        <item x="27"/>
        <item x="28"/>
        <item x="26"/>
        <item x="5"/>
        <item x="6"/>
        <item x="21"/>
        <item x="33"/>
        <item x="1"/>
        <item x="2"/>
        <item x="29"/>
        <item x="35"/>
        <item x="9"/>
        <item x="24"/>
        <item x="12"/>
        <item x="17"/>
        <item x="14"/>
        <item x="22"/>
        <item x="20"/>
        <item x="7"/>
        <item t="default"/>
      </items>
    </pivotField>
    <pivotField showAll="0"/>
    <pivotField showAll="0">
      <items count="7">
        <item x="5"/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ax of Age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17B54-5D0F-4BEC-BBAE-19D2D2E014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8:B45" firstHeaderRow="1" firstDataRow="1" firstDataCol="1"/>
  <pivotFields count="19">
    <pivotField showAll="0"/>
    <pivotField showAll="0"/>
    <pivotField showAll="0"/>
    <pivotField showAll="0">
      <items count="7">
        <item x="5"/>
        <item x="4"/>
        <item x="3"/>
        <item x="1"/>
        <item x="0"/>
        <item x="2"/>
        <item t="default"/>
      </items>
    </pivotField>
    <pivotField axis="axisRow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JobSatisfaction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71A9E-A5EF-4AE5-8341-650B5ABF544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Gender">
  <location ref="A12:B1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h="1" x="5"/>
        <item h="1" x="4"/>
        <item h="1" x="3"/>
        <item x="6"/>
        <item h="1" x="1"/>
        <item h="1" x="0"/>
        <item h="1" x="2"/>
        <item h="1"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4"/>
    </i>
    <i t="grand">
      <x/>
    </i>
  </rowItems>
  <colItems count="1">
    <i/>
  </colItems>
  <dataFields count="1">
    <dataField name="Sum of Percentge" fld="14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50C4C-5913-4816-9921-4F6926E7AF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epartment">
  <location ref="A3:B1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h="1" x="7"/>
        <item x="5"/>
        <item x="4"/>
        <item x="3"/>
        <item h="1" x="6"/>
        <item x="1"/>
        <item x="0"/>
        <item x="2"/>
        <item h="1"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1"/>
  </rowFields>
  <rowItems count="7"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dataFields count="1">
    <dataField name="Sum of Percentge" fld="14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7BFCC-FCD8-4E4E-8DD0-AADAA7082FE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Job rola">
  <location ref="A17:B2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5"/>
        <item x="2"/>
        <item x="1"/>
        <item x="0"/>
        <item h="1" x="6"/>
        <item t="default"/>
      </items>
    </pivotField>
    <pivotField showAll="0"/>
    <pivotField showAll="0"/>
    <pivotField dataField="1"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Jobpercentge" fld="18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1A2C-8257-43AB-AD7C-5B33519A1CEC}">
  <dimension ref="A1:S501"/>
  <sheetViews>
    <sheetView tabSelected="1" topLeftCell="I1" workbookViewId="0">
      <selection activeCell="S5" sqref="S5"/>
    </sheetView>
  </sheetViews>
  <sheetFormatPr defaultColWidth="13.140625" defaultRowHeight="15" x14ac:dyDescent="0.25"/>
  <cols>
    <col min="6" max="6" width="15" customWidth="1"/>
    <col min="7" max="7" width="16.42578125" customWidth="1"/>
    <col min="8" max="8" width="15.140625" customWidth="1"/>
    <col min="9" max="9" width="18.5703125" customWidth="1"/>
    <col min="11" max="11" width="13.5703125" customWidth="1"/>
    <col min="17" max="17" width="14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29</v>
      </c>
      <c r="N1" t="s">
        <v>30</v>
      </c>
      <c r="O1" t="s">
        <v>35</v>
      </c>
      <c r="P1" t="s">
        <v>31</v>
      </c>
      <c r="Q1" t="s">
        <v>32</v>
      </c>
      <c r="R1" t="s">
        <v>33</v>
      </c>
      <c r="S1" t="s">
        <v>34</v>
      </c>
    </row>
    <row r="2" spans="1:19" x14ac:dyDescent="0.25">
      <c r="A2">
        <v>1</v>
      </c>
      <c r="B2">
        <v>29</v>
      </c>
      <c r="C2" t="s">
        <v>11</v>
      </c>
      <c r="D2" t="s">
        <v>12</v>
      </c>
      <c r="E2" t="s">
        <v>13</v>
      </c>
      <c r="F2">
        <v>112196</v>
      </c>
      <c r="G2">
        <v>0</v>
      </c>
      <c r="H2">
        <v>1</v>
      </c>
      <c r="I2" t="s">
        <v>14</v>
      </c>
      <c r="J2" t="s">
        <v>15</v>
      </c>
      <c r="K2" t="s">
        <v>16</v>
      </c>
      <c r="L2" t="s">
        <v>12</v>
      </c>
      <c r="M2">
        <f>COUNTIF(D2:D501,"Operations")</f>
        <v>76</v>
      </c>
      <c r="N2">
        <f>COUNTIFS(D2:D501,"Operations",I2:I501,"Yes")</f>
        <v>19</v>
      </c>
      <c r="O2">
        <f t="shared" ref="O2:O9" si="0">N2/M2</f>
        <v>0.25</v>
      </c>
      <c r="P2" t="s">
        <v>13</v>
      </c>
      <c r="Q2">
        <f>COUNTIF(E2:E501,"Manager")</f>
        <v>87</v>
      </c>
      <c r="R2">
        <f>COUNTIFS(E2:E501,"Manager",J2:J501,"Yes")</f>
        <v>47</v>
      </c>
      <c r="S2">
        <f t="shared" ref="S2:S7" si="1">R2/Q2</f>
        <v>0.54022988505747127</v>
      </c>
    </row>
    <row r="3" spans="1:19" x14ac:dyDescent="0.25">
      <c r="A3">
        <v>2</v>
      </c>
      <c r="B3">
        <v>49</v>
      </c>
      <c r="C3" t="s">
        <v>11</v>
      </c>
      <c r="D3" t="s">
        <v>17</v>
      </c>
      <c r="E3" t="s">
        <v>18</v>
      </c>
      <c r="F3">
        <v>18905</v>
      </c>
      <c r="G3">
        <v>1</v>
      </c>
      <c r="H3">
        <v>4</v>
      </c>
      <c r="I3" t="s">
        <v>14</v>
      </c>
      <c r="J3" t="s">
        <v>14</v>
      </c>
      <c r="K3" t="s">
        <v>19</v>
      </c>
      <c r="L3" t="s">
        <v>17</v>
      </c>
      <c r="M3">
        <f>COUNTIF(D2:D501,"Marketing")</f>
        <v>93</v>
      </c>
      <c r="N3">
        <f>COUNTIFS(D2:D501,"Marketing",I2:I501,"Yes")</f>
        <v>28</v>
      </c>
      <c r="O3">
        <f t="shared" si="0"/>
        <v>0.30107526881720431</v>
      </c>
      <c r="P3" t="s">
        <v>18</v>
      </c>
      <c r="Q3">
        <f>COUNTIF(E2:E501,"Executive")</f>
        <v>81</v>
      </c>
      <c r="R3">
        <f>COUNTIFS(E2:E501,"Executive",J2:J501,"Yes")</f>
        <v>43</v>
      </c>
      <c r="S3">
        <f t="shared" si="1"/>
        <v>0.53086419753086422</v>
      </c>
    </row>
    <row r="4" spans="1:19" x14ac:dyDescent="0.25">
      <c r="A4">
        <v>3</v>
      </c>
      <c r="B4">
        <v>50</v>
      </c>
      <c r="C4" t="s">
        <v>11</v>
      </c>
      <c r="D4" t="s">
        <v>12</v>
      </c>
      <c r="E4" t="s">
        <v>20</v>
      </c>
      <c r="F4">
        <v>51463</v>
      </c>
      <c r="G4">
        <v>18</v>
      </c>
      <c r="H4">
        <v>3</v>
      </c>
      <c r="I4" t="s">
        <v>15</v>
      </c>
      <c r="J4" t="s">
        <v>14</v>
      </c>
      <c r="K4" t="s">
        <v>17</v>
      </c>
      <c r="L4" t="s">
        <v>22</v>
      </c>
      <c r="M4">
        <f>COUNTIF(D2:D501,"Sales")</f>
        <v>70</v>
      </c>
      <c r="N4">
        <f>COUNTIFS(D2:D501,"Sales",I2:I501,"Yes")</f>
        <v>17</v>
      </c>
      <c r="O4">
        <f t="shared" si="0"/>
        <v>0.24285714285714285</v>
      </c>
      <c r="P4" t="s">
        <v>20</v>
      </c>
      <c r="Q4">
        <f>COUNTIF(E2:E501,"Engineer")</f>
        <v>80</v>
      </c>
      <c r="R4">
        <f>COUNTIFS(E2:E501,"Engineer",J2:J501,"Yes")</f>
        <v>38</v>
      </c>
      <c r="S4">
        <f t="shared" si="1"/>
        <v>0.47499999999999998</v>
      </c>
    </row>
    <row r="5" spans="1:19" x14ac:dyDescent="0.25">
      <c r="A5">
        <v>4</v>
      </c>
      <c r="B5">
        <v>31</v>
      </c>
      <c r="C5" t="s">
        <v>21</v>
      </c>
      <c r="D5" t="s">
        <v>22</v>
      </c>
      <c r="E5" t="s">
        <v>23</v>
      </c>
      <c r="F5">
        <v>115072</v>
      </c>
      <c r="G5">
        <v>6</v>
      </c>
      <c r="H5">
        <v>3</v>
      </c>
      <c r="I5" t="s">
        <v>14</v>
      </c>
      <c r="J5" t="s">
        <v>15</v>
      </c>
      <c r="K5" t="s">
        <v>16</v>
      </c>
      <c r="L5" t="s">
        <v>25</v>
      </c>
      <c r="M5">
        <f>COUNTIF(D2:D501,"IT")</f>
        <v>89</v>
      </c>
      <c r="N5">
        <f>COUNTIFS(D2:D501,"IT",I2:I501,"Yes")</f>
        <v>33</v>
      </c>
      <c r="O5">
        <f t="shared" si="0"/>
        <v>0.3707865168539326</v>
      </c>
      <c r="P5" t="s">
        <v>23</v>
      </c>
      <c r="Q5">
        <f>COUNTIF(E2:E501,"Analyst")</f>
        <v>78</v>
      </c>
      <c r="R5">
        <f>COUNTIFS(E2:E501,"Analyst",J2:J501,"Yes")</f>
        <v>39</v>
      </c>
      <c r="S5">
        <f>R5/Q5</f>
        <v>0.5</v>
      </c>
    </row>
    <row r="6" spans="1:19" x14ac:dyDescent="0.25">
      <c r="A6">
        <v>5</v>
      </c>
      <c r="B6">
        <v>38</v>
      </c>
      <c r="C6" t="s">
        <v>21</v>
      </c>
      <c r="D6" t="s">
        <v>22</v>
      </c>
      <c r="E6" t="s">
        <v>24</v>
      </c>
      <c r="F6">
        <v>110647</v>
      </c>
      <c r="G6">
        <v>1</v>
      </c>
      <c r="H6">
        <v>3</v>
      </c>
      <c r="I6" t="s">
        <v>15</v>
      </c>
      <c r="J6" t="s">
        <v>15</v>
      </c>
      <c r="K6" t="s">
        <v>16</v>
      </c>
      <c r="L6" t="s">
        <v>16</v>
      </c>
      <c r="M6">
        <f>COUNTIF(D2:D501,"HR")</f>
        <v>80</v>
      </c>
      <c r="N6">
        <f>COUNTIFS(D2:D501,"HR",I2:I501,"Yes")</f>
        <v>22</v>
      </c>
      <c r="O6">
        <f t="shared" si="0"/>
        <v>0.27500000000000002</v>
      </c>
      <c r="P6" t="s">
        <v>24</v>
      </c>
      <c r="Q6">
        <f>COUNTIF(E2:E501,"Clerk")</f>
        <v>90</v>
      </c>
      <c r="R6">
        <f>COUNTIFS(E2:E501,"Clerk",J2:J501,"Yes")</f>
        <v>39</v>
      </c>
      <c r="S6">
        <f t="shared" si="1"/>
        <v>0.43333333333333335</v>
      </c>
    </row>
    <row r="7" spans="1:19" x14ac:dyDescent="0.25">
      <c r="A7">
        <v>6</v>
      </c>
      <c r="B7">
        <v>45</v>
      </c>
      <c r="C7" t="s">
        <v>11</v>
      </c>
      <c r="D7" t="s">
        <v>25</v>
      </c>
      <c r="E7" t="s">
        <v>13</v>
      </c>
      <c r="F7">
        <v>40203</v>
      </c>
      <c r="G7">
        <v>18</v>
      </c>
      <c r="H7">
        <v>2</v>
      </c>
      <c r="I7" t="s">
        <v>14</v>
      </c>
      <c r="J7" t="s">
        <v>14</v>
      </c>
      <c r="K7" t="s">
        <v>26</v>
      </c>
      <c r="L7" t="s">
        <v>28</v>
      </c>
      <c r="M7">
        <f>COUNTIF(D2:D501,"Finance")</f>
        <v>92</v>
      </c>
      <c r="N7">
        <f>COUNTIFS(D2:D501,"Finance",I2:I501,"Yes")</f>
        <v>19</v>
      </c>
      <c r="O7">
        <f t="shared" si="0"/>
        <v>0.20652173913043478</v>
      </c>
      <c r="P7" t="s">
        <v>27</v>
      </c>
      <c r="Q7">
        <f>COUNTIF(E2:E501,"Consultant")</f>
        <v>84</v>
      </c>
      <c r="R7">
        <f>COUNTIFS(E2:E501,"Consultant",J2:J501,"Yes")</f>
        <v>36</v>
      </c>
      <c r="S7">
        <f t="shared" si="1"/>
        <v>0.42857142857142855</v>
      </c>
    </row>
    <row r="8" spans="1:19" x14ac:dyDescent="0.25">
      <c r="A8">
        <v>7</v>
      </c>
      <c r="B8">
        <v>46</v>
      </c>
      <c r="C8" t="s">
        <v>21</v>
      </c>
      <c r="D8" t="s">
        <v>16</v>
      </c>
      <c r="E8" t="s">
        <v>27</v>
      </c>
      <c r="F8">
        <v>74429</v>
      </c>
      <c r="G8">
        <v>8</v>
      </c>
      <c r="H8">
        <v>3</v>
      </c>
      <c r="I8" t="s">
        <v>14</v>
      </c>
      <c r="J8" t="s">
        <v>15</v>
      </c>
      <c r="K8" t="s">
        <v>26</v>
      </c>
      <c r="L8" t="s">
        <v>11</v>
      </c>
      <c r="M8">
        <f>COUNTIF(C2:C501,"Male")</f>
        <v>256</v>
      </c>
      <c r="N8">
        <f>COUNTIFS(C2:C501,"Male",I2:I501,"Yes")</f>
        <v>71</v>
      </c>
      <c r="O8">
        <f t="shared" si="0"/>
        <v>0.27734375</v>
      </c>
    </row>
    <row r="9" spans="1:19" x14ac:dyDescent="0.25">
      <c r="A9">
        <v>8</v>
      </c>
      <c r="B9">
        <v>60</v>
      </c>
      <c r="C9" t="s">
        <v>21</v>
      </c>
      <c r="D9" t="s">
        <v>25</v>
      </c>
      <c r="E9" t="s">
        <v>27</v>
      </c>
      <c r="F9">
        <v>37431</v>
      </c>
      <c r="G9">
        <v>20</v>
      </c>
      <c r="H9">
        <v>2</v>
      </c>
      <c r="I9" t="s">
        <v>14</v>
      </c>
      <c r="J9" t="s">
        <v>14</v>
      </c>
      <c r="K9" t="s">
        <v>17</v>
      </c>
      <c r="L9" t="s">
        <v>21</v>
      </c>
      <c r="M9">
        <f>COUNTIF(C2:C501,"Female")</f>
        <v>244</v>
      </c>
      <c r="N9">
        <f>COUNTIFS(C2:C501,"Female",I2:I501,"Yes")</f>
        <v>67</v>
      </c>
      <c r="O9">
        <f t="shared" si="0"/>
        <v>0.27459016393442626</v>
      </c>
    </row>
    <row r="10" spans="1:19" x14ac:dyDescent="0.25">
      <c r="A10">
        <v>9</v>
      </c>
      <c r="B10">
        <v>25</v>
      </c>
      <c r="C10" t="s">
        <v>11</v>
      </c>
      <c r="D10" t="s">
        <v>16</v>
      </c>
      <c r="E10" t="s">
        <v>24</v>
      </c>
      <c r="F10">
        <v>19207</v>
      </c>
      <c r="G10">
        <v>7</v>
      </c>
      <c r="H10">
        <v>3</v>
      </c>
      <c r="I10" t="s">
        <v>15</v>
      </c>
      <c r="J10" t="s">
        <v>15</v>
      </c>
      <c r="K10" t="s">
        <v>19</v>
      </c>
    </row>
    <row r="11" spans="1:19" x14ac:dyDescent="0.25">
      <c r="A11">
        <v>10</v>
      </c>
      <c r="B11">
        <v>53</v>
      </c>
      <c r="C11" t="s">
        <v>11</v>
      </c>
      <c r="D11" t="s">
        <v>16</v>
      </c>
      <c r="E11" t="s">
        <v>27</v>
      </c>
      <c r="F11">
        <v>99259</v>
      </c>
      <c r="G11">
        <v>12</v>
      </c>
      <c r="H11">
        <v>3</v>
      </c>
      <c r="I11" t="s">
        <v>14</v>
      </c>
      <c r="J11" t="s">
        <v>15</v>
      </c>
      <c r="K11" t="s">
        <v>16</v>
      </c>
    </row>
    <row r="12" spans="1:19" x14ac:dyDescent="0.25">
      <c r="A12">
        <v>11</v>
      </c>
      <c r="B12">
        <v>49</v>
      </c>
      <c r="C12" t="s">
        <v>11</v>
      </c>
      <c r="D12" t="s">
        <v>17</v>
      </c>
      <c r="E12" t="s">
        <v>20</v>
      </c>
      <c r="F12">
        <v>67350</v>
      </c>
      <c r="G12">
        <v>18</v>
      </c>
      <c r="H12">
        <v>1</v>
      </c>
      <c r="I12" t="s">
        <v>14</v>
      </c>
      <c r="J12" t="s">
        <v>15</v>
      </c>
      <c r="K12" t="s">
        <v>26</v>
      </c>
    </row>
    <row r="13" spans="1:19" x14ac:dyDescent="0.25">
      <c r="A13">
        <v>12</v>
      </c>
      <c r="B13">
        <v>29</v>
      </c>
      <c r="C13" t="s">
        <v>21</v>
      </c>
      <c r="D13" t="s">
        <v>17</v>
      </c>
      <c r="E13" t="s">
        <v>13</v>
      </c>
      <c r="F13">
        <v>97240</v>
      </c>
      <c r="G13">
        <v>4</v>
      </c>
      <c r="H13">
        <v>4</v>
      </c>
      <c r="I13" t="s">
        <v>15</v>
      </c>
      <c r="J13" t="s">
        <v>14</v>
      </c>
      <c r="K13" t="s">
        <v>28</v>
      </c>
    </row>
    <row r="14" spans="1:19" x14ac:dyDescent="0.25">
      <c r="A14">
        <v>13</v>
      </c>
      <c r="B14">
        <v>60</v>
      </c>
      <c r="C14" t="s">
        <v>11</v>
      </c>
      <c r="D14" t="s">
        <v>12</v>
      </c>
      <c r="E14" t="s">
        <v>27</v>
      </c>
      <c r="F14">
        <v>84352</v>
      </c>
      <c r="G14">
        <v>14</v>
      </c>
      <c r="H14">
        <v>1</v>
      </c>
      <c r="I14" t="s">
        <v>15</v>
      </c>
      <c r="J14" t="s">
        <v>15</v>
      </c>
      <c r="K14" t="s">
        <v>16</v>
      </c>
    </row>
    <row r="15" spans="1:19" x14ac:dyDescent="0.25">
      <c r="A15">
        <v>14</v>
      </c>
      <c r="B15">
        <v>39</v>
      </c>
      <c r="C15" t="s">
        <v>11</v>
      </c>
      <c r="D15" t="s">
        <v>28</v>
      </c>
      <c r="E15" t="s">
        <v>13</v>
      </c>
      <c r="F15">
        <v>59587</v>
      </c>
      <c r="G15">
        <v>20</v>
      </c>
      <c r="H15">
        <v>3</v>
      </c>
      <c r="I15" t="s">
        <v>15</v>
      </c>
      <c r="J15" t="s">
        <v>14</v>
      </c>
      <c r="K15" t="s">
        <v>16</v>
      </c>
    </row>
    <row r="16" spans="1:19" x14ac:dyDescent="0.25">
      <c r="A16">
        <v>15</v>
      </c>
      <c r="B16">
        <v>33</v>
      </c>
      <c r="C16" t="s">
        <v>11</v>
      </c>
      <c r="D16" t="s">
        <v>16</v>
      </c>
      <c r="E16" t="s">
        <v>23</v>
      </c>
      <c r="F16">
        <v>28947</v>
      </c>
      <c r="G16">
        <v>16</v>
      </c>
      <c r="H16">
        <v>2</v>
      </c>
      <c r="I16" t="s">
        <v>15</v>
      </c>
      <c r="J16" t="s">
        <v>15</v>
      </c>
      <c r="K16" t="s">
        <v>16</v>
      </c>
    </row>
    <row r="17" spans="1:11" x14ac:dyDescent="0.25">
      <c r="A17">
        <v>16</v>
      </c>
      <c r="B17">
        <v>55</v>
      </c>
      <c r="C17" t="s">
        <v>11</v>
      </c>
      <c r="D17" t="s">
        <v>25</v>
      </c>
      <c r="E17" t="s">
        <v>23</v>
      </c>
      <c r="F17">
        <v>93504</v>
      </c>
      <c r="G17">
        <v>0</v>
      </c>
      <c r="H17">
        <v>2</v>
      </c>
      <c r="I17" t="s">
        <v>15</v>
      </c>
      <c r="J17" t="s">
        <v>15</v>
      </c>
      <c r="K17" t="s">
        <v>26</v>
      </c>
    </row>
    <row r="18" spans="1:11" x14ac:dyDescent="0.25">
      <c r="A18">
        <v>17</v>
      </c>
      <c r="B18">
        <v>37</v>
      </c>
      <c r="C18" t="s">
        <v>11</v>
      </c>
      <c r="D18" t="s">
        <v>17</v>
      </c>
      <c r="E18" t="s">
        <v>18</v>
      </c>
      <c r="F18">
        <v>25322</v>
      </c>
      <c r="G18">
        <v>18</v>
      </c>
      <c r="H18">
        <v>2</v>
      </c>
      <c r="I18" t="s">
        <v>15</v>
      </c>
      <c r="J18" t="s">
        <v>14</v>
      </c>
      <c r="K18" t="s">
        <v>28</v>
      </c>
    </row>
    <row r="19" spans="1:11" x14ac:dyDescent="0.25">
      <c r="A19">
        <v>18</v>
      </c>
      <c r="B19">
        <v>57</v>
      </c>
      <c r="C19" t="s">
        <v>11</v>
      </c>
      <c r="D19" t="s">
        <v>12</v>
      </c>
      <c r="E19" t="s">
        <v>23</v>
      </c>
      <c r="F19">
        <v>49741</v>
      </c>
      <c r="G19">
        <v>5</v>
      </c>
      <c r="H19">
        <v>4</v>
      </c>
      <c r="I19" t="s">
        <v>15</v>
      </c>
      <c r="J19" t="s">
        <v>15</v>
      </c>
      <c r="K19" t="s">
        <v>17</v>
      </c>
    </row>
    <row r="20" spans="1:11" x14ac:dyDescent="0.25">
      <c r="A20">
        <v>19</v>
      </c>
      <c r="B20">
        <v>50</v>
      </c>
      <c r="C20" t="s">
        <v>11</v>
      </c>
      <c r="D20" t="s">
        <v>25</v>
      </c>
      <c r="E20" t="s">
        <v>13</v>
      </c>
      <c r="F20">
        <v>74177</v>
      </c>
      <c r="G20">
        <v>16</v>
      </c>
      <c r="H20">
        <v>2</v>
      </c>
      <c r="I20" t="s">
        <v>14</v>
      </c>
      <c r="J20" t="s">
        <v>14</v>
      </c>
      <c r="K20" t="s">
        <v>16</v>
      </c>
    </row>
    <row r="21" spans="1:11" x14ac:dyDescent="0.25">
      <c r="A21">
        <v>20</v>
      </c>
      <c r="B21">
        <v>36</v>
      </c>
      <c r="C21" t="s">
        <v>11</v>
      </c>
      <c r="D21" t="s">
        <v>25</v>
      </c>
      <c r="E21" t="s">
        <v>13</v>
      </c>
      <c r="F21">
        <v>24305</v>
      </c>
      <c r="G21">
        <v>0</v>
      </c>
      <c r="H21">
        <v>2</v>
      </c>
      <c r="I21" t="s">
        <v>14</v>
      </c>
      <c r="J21" t="s">
        <v>14</v>
      </c>
      <c r="K21" t="s">
        <v>17</v>
      </c>
    </row>
    <row r="22" spans="1:11" x14ac:dyDescent="0.25">
      <c r="A22">
        <v>21</v>
      </c>
      <c r="B22">
        <v>53</v>
      </c>
      <c r="C22" t="s">
        <v>21</v>
      </c>
      <c r="D22" t="s">
        <v>16</v>
      </c>
      <c r="E22" t="s">
        <v>20</v>
      </c>
      <c r="F22">
        <v>85678</v>
      </c>
      <c r="G22">
        <v>6</v>
      </c>
      <c r="H22">
        <v>4</v>
      </c>
      <c r="I22" t="s">
        <v>15</v>
      </c>
      <c r="J22" t="s">
        <v>14</v>
      </c>
      <c r="K22" t="s">
        <v>19</v>
      </c>
    </row>
    <row r="23" spans="1:11" x14ac:dyDescent="0.25">
      <c r="A23">
        <v>22</v>
      </c>
      <c r="B23">
        <v>28</v>
      </c>
      <c r="C23" t="s">
        <v>21</v>
      </c>
      <c r="D23" t="s">
        <v>28</v>
      </c>
      <c r="E23" t="s">
        <v>27</v>
      </c>
      <c r="F23">
        <v>101374</v>
      </c>
      <c r="G23">
        <v>3</v>
      </c>
      <c r="H23">
        <v>1</v>
      </c>
      <c r="I23" t="s">
        <v>15</v>
      </c>
      <c r="J23" t="s">
        <v>15</v>
      </c>
      <c r="K23" t="s">
        <v>26</v>
      </c>
    </row>
    <row r="24" spans="1:11" x14ac:dyDescent="0.25">
      <c r="A24">
        <v>23</v>
      </c>
      <c r="B24">
        <v>25</v>
      </c>
      <c r="C24" t="s">
        <v>11</v>
      </c>
      <c r="D24" t="s">
        <v>16</v>
      </c>
      <c r="E24" t="s">
        <v>18</v>
      </c>
      <c r="F24">
        <v>110448</v>
      </c>
      <c r="G24">
        <v>12</v>
      </c>
      <c r="H24">
        <v>2</v>
      </c>
      <c r="I24" t="s">
        <v>15</v>
      </c>
      <c r="J24" t="s">
        <v>15</v>
      </c>
      <c r="K24" t="s">
        <v>16</v>
      </c>
    </row>
    <row r="25" spans="1:11" x14ac:dyDescent="0.25">
      <c r="A25">
        <v>24</v>
      </c>
      <c r="B25">
        <v>50</v>
      </c>
      <c r="C25" t="s">
        <v>11</v>
      </c>
      <c r="D25" t="s">
        <v>22</v>
      </c>
      <c r="E25" t="s">
        <v>20</v>
      </c>
      <c r="F25">
        <v>70296</v>
      </c>
      <c r="G25">
        <v>4</v>
      </c>
      <c r="H25">
        <v>1</v>
      </c>
      <c r="I25" t="s">
        <v>15</v>
      </c>
      <c r="J25" t="s">
        <v>14</v>
      </c>
      <c r="K25" t="s">
        <v>26</v>
      </c>
    </row>
    <row r="26" spans="1:11" x14ac:dyDescent="0.25">
      <c r="A26">
        <v>25</v>
      </c>
      <c r="B26">
        <v>56</v>
      </c>
      <c r="C26" t="s">
        <v>21</v>
      </c>
      <c r="D26" t="s">
        <v>28</v>
      </c>
      <c r="E26" t="s">
        <v>18</v>
      </c>
      <c r="F26">
        <v>27224</v>
      </c>
      <c r="G26">
        <v>0</v>
      </c>
      <c r="H26">
        <v>4</v>
      </c>
      <c r="I26" t="s">
        <v>14</v>
      </c>
      <c r="J26" t="s">
        <v>14</v>
      </c>
      <c r="K26" t="s">
        <v>26</v>
      </c>
    </row>
    <row r="27" spans="1:11" x14ac:dyDescent="0.25">
      <c r="A27">
        <v>26</v>
      </c>
      <c r="B27">
        <v>32</v>
      </c>
      <c r="C27" t="s">
        <v>21</v>
      </c>
      <c r="D27" t="s">
        <v>25</v>
      </c>
      <c r="E27" t="s">
        <v>20</v>
      </c>
      <c r="F27">
        <v>15282</v>
      </c>
      <c r="G27">
        <v>12</v>
      </c>
      <c r="H27">
        <v>4</v>
      </c>
      <c r="I27" t="s">
        <v>15</v>
      </c>
      <c r="J27" t="s">
        <v>15</v>
      </c>
      <c r="K27" t="s">
        <v>19</v>
      </c>
    </row>
    <row r="28" spans="1:11" x14ac:dyDescent="0.25">
      <c r="A28">
        <v>27</v>
      </c>
      <c r="B28">
        <v>34</v>
      </c>
      <c r="C28" t="s">
        <v>11</v>
      </c>
      <c r="D28" t="s">
        <v>12</v>
      </c>
      <c r="E28" t="s">
        <v>23</v>
      </c>
      <c r="F28">
        <v>43534</v>
      </c>
      <c r="G28">
        <v>9</v>
      </c>
      <c r="H28">
        <v>1</v>
      </c>
      <c r="I28" t="s">
        <v>15</v>
      </c>
      <c r="J28" t="s">
        <v>14</v>
      </c>
      <c r="K28" t="s">
        <v>26</v>
      </c>
    </row>
    <row r="29" spans="1:11" x14ac:dyDescent="0.25">
      <c r="A29">
        <v>28</v>
      </c>
      <c r="B29">
        <v>59</v>
      </c>
      <c r="C29" t="s">
        <v>11</v>
      </c>
      <c r="D29" t="s">
        <v>16</v>
      </c>
      <c r="E29" t="s">
        <v>13</v>
      </c>
      <c r="F29">
        <v>80909</v>
      </c>
      <c r="G29">
        <v>15</v>
      </c>
      <c r="H29">
        <v>1</v>
      </c>
      <c r="I29" t="s">
        <v>14</v>
      </c>
      <c r="J29" t="s">
        <v>14</v>
      </c>
      <c r="K29" t="s">
        <v>19</v>
      </c>
    </row>
    <row r="30" spans="1:11" x14ac:dyDescent="0.25">
      <c r="A30">
        <v>29</v>
      </c>
      <c r="B30">
        <v>47</v>
      </c>
      <c r="C30" t="s">
        <v>11</v>
      </c>
      <c r="D30" t="s">
        <v>17</v>
      </c>
      <c r="E30" t="s">
        <v>13</v>
      </c>
      <c r="F30">
        <v>89668</v>
      </c>
      <c r="G30">
        <v>3</v>
      </c>
      <c r="H30">
        <v>4</v>
      </c>
      <c r="I30" t="s">
        <v>15</v>
      </c>
      <c r="J30" t="s">
        <v>14</v>
      </c>
      <c r="K30" t="s">
        <v>16</v>
      </c>
    </row>
    <row r="31" spans="1:11" x14ac:dyDescent="0.25">
      <c r="A31">
        <v>30</v>
      </c>
      <c r="B31">
        <v>58</v>
      </c>
      <c r="C31" t="s">
        <v>21</v>
      </c>
      <c r="D31" t="s">
        <v>16</v>
      </c>
      <c r="E31" t="s">
        <v>23</v>
      </c>
      <c r="F31">
        <v>56467</v>
      </c>
      <c r="G31">
        <v>16</v>
      </c>
      <c r="H31">
        <v>4</v>
      </c>
      <c r="I31" t="s">
        <v>14</v>
      </c>
      <c r="J31" t="s">
        <v>15</v>
      </c>
      <c r="K31" t="s">
        <v>19</v>
      </c>
    </row>
    <row r="32" spans="1:11" x14ac:dyDescent="0.25">
      <c r="A32">
        <v>31</v>
      </c>
      <c r="B32">
        <v>41</v>
      </c>
      <c r="C32" t="s">
        <v>11</v>
      </c>
      <c r="D32" t="s">
        <v>22</v>
      </c>
      <c r="E32" t="s">
        <v>24</v>
      </c>
      <c r="F32">
        <v>56441</v>
      </c>
      <c r="G32">
        <v>14</v>
      </c>
      <c r="H32">
        <v>2</v>
      </c>
      <c r="I32" t="s">
        <v>14</v>
      </c>
      <c r="J32" t="s">
        <v>14</v>
      </c>
      <c r="K32" t="s">
        <v>16</v>
      </c>
    </row>
    <row r="33" spans="1:11" x14ac:dyDescent="0.25">
      <c r="A33">
        <v>32</v>
      </c>
      <c r="B33">
        <v>38</v>
      </c>
      <c r="C33" t="s">
        <v>21</v>
      </c>
      <c r="D33" t="s">
        <v>25</v>
      </c>
      <c r="E33" t="s">
        <v>18</v>
      </c>
      <c r="F33">
        <v>60745</v>
      </c>
      <c r="G33">
        <v>4</v>
      </c>
      <c r="H33">
        <v>4</v>
      </c>
      <c r="I33" t="s">
        <v>15</v>
      </c>
      <c r="J33" t="s">
        <v>14</v>
      </c>
      <c r="K33" t="s">
        <v>16</v>
      </c>
    </row>
    <row r="34" spans="1:11" x14ac:dyDescent="0.25">
      <c r="A34">
        <v>33</v>
      </c>
      <c r="B34">
        <v>41</v>
      </c>
      <c r="C34" t="s">
        <v>21</v>
      </c>
      <c r="D34" t="s">
        <v>12</v>
      </c>
      <c r="E34" t="s">
        <v>13</v>
      </c>
      <c r="F34">
        <v>100717</v>
      </c>
      <c r="G34">
        <v>19</v>
      </c>
      <c r="H34">
        <v>2</v>
      </c>
      <c r="I34" t="s">
        <v>15</v>
      </c>
      <c r="J34" t="s">
        <v>14</v>
      </c>
      <c r="K34" t="s">
        <v>17</v>
      </c>
    </row>
    <row r="35" spans="1:11" x14ac:dyDescent="0.25">
      <c r="A35">
        <v>34</v>
      </c>
      <c r="B35">
        <v>29</v>
      </c>
      <c r="C35" t="s">
        <v>11</v>
      </c>
      <c r="D35" t="s">
        <v>12</v>
      </c>
      <c r="E35" t="s">
        <v>23</v>
      </c>
      <c r="F35">
        <v>112310</v>
      </c>
      <c r="G35">
        <v>3</v>
      </c>
      <c r="H35">
        <v>2</v>
      </c>
      <c r="I35" t="s">
        <v>15</v>
      </c>
      <c r="J35" t="s">
        <v>14</v>
      </c>
      <c r="K35" t="s">
        <v>17</v>
      </c>
    </row>
    <row r="36" spans="1:11" x14ac:dyDescent="0.25">
      <c r="A36">
        <v>35</v>
      </c>
      <c r="B36">
        <v>54</v>
      </c>
      <c r="C36" t="s">
        <v>21</v>
      </c>
      <c r="D36" t="s">
        <v>25</v>
      </c>
      <c r="E36" t="s">
        <v>13</v>
      </c>
      <c r="F36">
        <v>47914</v>
      </c>
      <c r="G36">
        <v>15</v>
      </c>
      <c r="H36">
        <v>1</v>
      </c>
      <c r="I36" t="s">
        <v>14</v>
      </c>
      <c r="J36" t="s">
        <v>14</v>
      </c>
      <c r="K36" t="s">
        <v>17</v>
      </c>
    </row>
    <row r="37" spans="1:11" x14ac:dyDescent="0.25">
      <c r="A37">
        <v>36</v>
      </c>
      <c r="B37">
        <v>30</v>
      </c>
      <c r="C37" t="s">
        <v>21</v>
      </c>
      <c r="D37" t="s">
        <v>17</v>
      </c>
      <c r="E37" t="s">
        <v>13</v>
      </c>
      <c r="F37">
        <v>49335</v>
      </c>
      <c r="G37">
        <v>20</v>
      </c>
      <c r="H37">
        <v>1</v>
      </c>
      <c r="I37" t="s">
        <v>15</v>
      </c>
      <c r="J37" t="s">
        <v>14</v>
      </c>
      <c r="K37" t="s">
        <v>26</v>
      </c>
    </row>
    <row r="38" spans="1:11" x14ac:dyDescent="0.25">
      <c r="A38">
        <v>37</v>
      </c>
      <c r="B38">
        <v>31</v>
      </c>
      <c r="C38" t="s">
        <v>11</v>
      </c>
      <c r="D38" t="s">
        <v>28</v>
      </c>
      <c r="E38" t="s">
        <v>18</v>
      </c>
      <c r="F38">
        <v>19722</v>
      </c>
      <c r="G38">
        <v>17</v>
      </c>
      <c r="H38">
        <v>1</v>
      </c>
      <c r="I38" t="s">
        <v>15</v>
      </c>
      <c r="J38" t="s">
        <v>15</v>
      </c>
      <c r="K38" t="s">
        <v>17</v>
      </c>
    </row>
    <row r="39" spans="1:11" x14ac:dyDescent="0.25">
      <c r="A39">
        <v>38</v>
      </c>
      <c r="B39">
        <v>45</v>
      </c>
      <c r="C39" t="s">
        <v>11</v>
      </c>
      <c r="D39" t="s">
        <v>25</v>
      </c>
      <c r="E39" t="s">
        <v>24</v>
      </c>
      <c r="F39">
        <v>61898</v>
      </c>
      <c r="G39">
        <v>1</v>
      </c>
      <c r="H39">
        <v>4</v>
      </c>
      <c r="I39" t="s">
        <v>15</v>
      </c>
      <c r="J39" t="s">
        <v>14</v>
      </c>
      <c r="K39" t="s">
        <v>16</v>
      </c>
    </row>
    <row r="40" spans="1:11" x14ac:dyDescent="0.25">
      <c r="A40">
        <v>39</v>
      </c>
      <c r="B40">
        <v>31</v>
      </c>
      <c r="C40" t="s">
        <v>11</v>
      </c>
      <c r="D40" t="s">
        <v>16</v>
      </c>
      <c r="E40" t="s">
        <v>27</v>
      </c>
      <c r="F40">
        <v>36299</v>
      </c>
      <c r="G40">
        <v>7</v>
      </c>
      <c r="H40">
        <v>3</v>
      </c>
      <c r="I40" t="s">
        <v>15</v>
      </c>
      <c r="J40" t="s">
        <v>14</v>
      </c>
      <c r="K40" t="s">
        <v>28</v>
      </c>
    </row>
    <row r="41" spans="1:11" x14ac:dyDescent="0.25">
      <c r="A41">
        <v>40</v>
      </c>
      <c r="B41">
        <v>37</v>
      </c>
      <c r="C41" t="s">
        <v>11</v>
      </c>
      <c r="D41" t="s">
        <v>28</v>
      </c>
      <c r="E41" t="s">
        <v>18</v>
      </c>
      <c r="F41">
        <v>35866</v>
      </c>
      <c r="G41">
        <v>8</v>
      </c>
      <c r="H41">
        <v>2</v>
      </c>
      <c r="I41" t="s">
        <v>15</v>
      </c>
      <c r="J41" t="s">
        <v>14</v>
      </c>
      <c r="K41" t="s">
        <v>28</v>
      </c>
    </row>
    <row r="42" spans="1:11" x14ac:dyDescent="0.25">
      <c r="A42">
        <v>41</v>
      </c>
      <c r="B42">
        <v>44</v>
      </c>
      <c r="C42" t="s">
        <v>11</v>
      </c>
      <c r="D42" t="s">
        <v>28</v>
      </c>
      <c r="E42" t="s">
        <v>23</v>
      </c>
      <c r="F42">
        <v>119247</v>
      </c>
      <c r="G42">
        <v>9</v>
      </c>
      <c r="H42">
        <v>3</v>
      </c>
      <c r="I42" t="s">
        <v>14</v>
      </c>
      <c r="J42" t="s">
        <v>14</v>
      </c>
      <c r="K42" t="s">
        <v>26</v>
      </c>
    </row>
    <row r="43" spans="1:11" x14ac:dyDescent="0.25">
      <c r="A43">
        <v>42</v>
      </c>
      <c r="B43">
        <v>39</v>
      </c>
      <c r="C43" t="s">
        <v>21</v>
      </c>
      <c r="D43" t="s">
        <v>22</v>
      </c>
      <c r="E43" t="s">
        <v>13</v>
      </c>
      <c r="F43">
        <v>99080</v>
      </c>
      <c r="G43">
        <v>11</v>
      </c>
      <c r="H43">
        <v>3</v>
      </c>
      <c r="I43" t="s">
        <v>15</v>
      </c>
      <c r="J43" t="s">
        <v>15</v>
      </c>
      <c r="K43" t="s">
        <v>19</v>
      </c>
    </row>
    <row r="44" spans="1:11" x14ac:dyDescent="0.25">
      <c r="A44">
        <v>43</v>
      </c>
      <c r="B44">
        <v>59</v>
      </c>
      <c r="C44" t="s">
        <v>21</v>
      </c>
      <c r="D44" t="s">
        <v>12</v>
      </c>
      <c r="E44" t="s">
        <v>23</v>
      </c>
      <c r="F44">
        <v>20014</v>
      </c>
      <c r="G44">
        <v>8</v>
      </c>
      <c r="H44">
        <v>4</v>
      </c>
      <c r="I44" t="s">
        <v>15</v>
      </c>
      <c r="J44" t="s">
        <v>14</v>
      </c>
      <c r="K44" t="s">
        <v>16</v>
      </c>
    </row>
    <row r="45" spans="1:11" x14ac:dyDescent="0.25">
      <c r="A45">
        <v>44</v>
      </c>
      <c r="B45">
        <v>54</v>
      </c>
      <c r="C45" t="s">
        <v>21</v>
      </c>
      <c r="D45" t="s">
        <v>22</v>
      </c>
      <c r="E45" t="s">
        <v>24</v>
      </c>
      <c r="F45">
        <v>65488</v>
      </c>
      <c r="G45">
        <v>3</v>
      </c>
      <c r="H45">
        <v>2</v>
      </c>
      <c r="I45" t="s">
        <v>15</v>
      </c>
      <c r="J45" t="s">
        <v>14</v>
      </c>
      <c r="K45" t="s">
        <v>17</v>
      </c>
    </row>
    <row r="46" spans="1:11" x14ac:dyDescent="0.25">
      <c r="A46">
        <v>45</v>
      </c>
      <c r="B46">
        <v>49</v>
      </c>
      <c r="C46" t="s">
        <v>11</v>
      </c>
      <c r="D46" t="s">
        <v>12</v>
      </c>
      <c r="E46" t="s">
        <v>23</v>
      </c>
      <c r="F46">
        <v>102062</v>
      </c>
      <c r="G46">
        <v>2</v>
      </c>
      <c r="H46">
        <v>3</v>
      </c>
      <c r="I46" t="s">
        <v>15</v>
      </c>
      <c r="J46" t="s">
        <v>15</v>
      </c>
      <c r="K46" t="s">
        <v>28</v>
      </c>
    </row>
    <row r="47" spans="1:11" x14ac:dyDescent="0.25">
      <c r="A47">
        <v>46</v>
      </c>
      <c r="B47">
        <v>42</v>
      </c>
      <c r="C47" t="s">
        <v>11</v>
      </c>
      <c r="D47" t="s">
        <v>28</v>
      </c>
      <c r="E47" t="s">
        <v>27</v>
      </c>
      <c r="F47">
        <v>106384</v>
      </c>
      <c r="G47">
        <v>12</v>
      </c>
      <c r="H47">
        <v>4</v>
      </c>
      <c r="I47" t="s">
        <v>15</v>
      </c>
      <c r="J47" t="s">
        <v>15</v>
      </c>
      <c r="K47" t="s">
        <v>19</v>
      </c>
    </row>
    <row r="48" spans="1:11" x14ac:dyDescent="0.25">
      <c r="A48">
        <v>47</v>
      </c>
      <c r="B48">
        <v>58</v>
      </c>
      <c r="C48" t="s">
        <v>11</v>
      </c>
      <c r="D48" t="s">
        <v>28</v>
      </c>
      <c r="E48" t="s">
        <v>24</v>
      </c>
      <c r="F48">
        <v>68225</v>
      </c>
      <c r="G48">
        <v>9</v>
      </c>
      <c r="H48">
        <v>3</v>
      </c>
      <c r="I48" t="s">
        <v>15</v>
      </c>
      <c r="J48" t="s">
        <v>14</v>
      </c>
      <c r="K48" t="s">
        <v>28</v>
      </c>
    </row>
    <row r="49" spans="1:11" x14ac:dyDescent="0.25">
      <c r="A49">
        <v>48</v>
      </c>
      <c r="B49">
        <v>50</v>
      </c>
      <c r="C49" t="s">
        <v>11</v>
      </c>
      <c r="D49" t="s">
        <v>12</v>
      </c>
      <c r="E49" t="s">
        <v>13</v>
      </c>
      <c r="F49">
        <v>103555</v>
      </c>
      <c r="G49">
        <v>14</v>
      </c>
      <c r="H49">
        <v>3</v>
      </c>
      <c r="I49" t="s">
        <v>15</v>
      </c>
      <c r="J49" t="s">
        <v>14</v>
      </c>
      <c r="K49" t="s">
        <v>16</v>
      </c>
    </row>
    <row r="50" spans="1:11" x14ac:dyDescent="0.25">
      <c r="A50">
        <v>49</v>
      </c>
      <c r="B50">
        <v>43</v>
      </c>
      <c r="C50" t="s">
        <v>11</v>
      </c>
      <c r="D50" t="s">
        <v>16</v>
      </c>
      <c r="E50" t="s">
        <v>18</v>
      </c>
      <c r="F50">
        <v>113453</v>
      </c>
      <c r="G50">
        <v>2</v>
      </c>
      <c r="H50">
        <v>1</v>
      </c>
      <c r="I50" t="s">
        <v>15</v>
      </c>
      <c r="J50" t="s">
        <v>14</v>
      </c>
      <c r="K50" t="s">
        <v>26</v>
      </c>
    </row>
    <row r="51" spans="1:11" x14ac:dyDescent="0.25">
      <c r="A51">
        <v>50</v>
      </c>
      <c r="B51">
        <v>37</v>
      </c>
      <c r="C51" t="s">
        <v>11</v>
      </c>
      <c r="D51" t="s">
        <v>12</v>
      </c>
      <c r="E51" t="s">
        <v>27</v>
      </c>
      <c r="F51">
        <v>95120</v>
      </c>
      <c r="G51">
        <v>15</v>
      </c>
      <c r="H51">
        <v>4</v>
      </c>
      <c r="I51" t="s">
        <v>15</v>
      </c>
      <c r="J51" t="s">
        <v>14</v>
      </c>
      <c r="K51" t="s">
        <v>28</v>
      </c>
    </row>
    <row r="52" spans="1:11" x14ac:dyDescent="0.25">
      <c r="A52">
        <v>51</v>
      </c>
      <c r="B52">
        <v>47</v>
      </c>
      <c r="C52" t="s">
        <v>11</v>
      </c>
      <c r="D52" t="s">
        <v>28</v>
      </c>
      <c r="E52" t="s">
        <v>18</v>
      </c>
      <c r="F52">
        <v>34342</v>
      </c>
      <c r="G52">
        <v>7</v>
      </c>
      <c r="H52">
        <v>2</v>
      </c>
      <c r="I52" t="s">
        <v>15</v>
      </c>
      <c r="J52" t="s">
        <v>14</v>
      </c>
      <c r="K52" t="s">
        <v>16</v>
      </c>
    </row>
    <row r="53" spans="1:11" x14ac:dyDescent="0.25">
      <c r="A53">
        <v>52</v>
      </c>
      <c r="B53">
        <v>51</v>
      </c>
      <c r="C53" t="s">
        <v>11</v>
      </c>
      <c r="D53" t="s">
        <v>28</v>
      </c>
      <c r="E53" t="s">
        <v>18</v>
      </c>
      <c r="F53">
        <v>88060</v>
      </c>
      <c r="G53">
        <v>1</v>
      </c>
      <c r="H53">
        <v>4</v>
      </c>
      <c r="I53" t="s">
        <v>15</v>
      </c>
      <c r="J53" t="s">
        <v>14</v>
      </c>
      <c r="K53" t="s">
        <v>16</v>
      </c>
    </row>
    <row r="54" spans="1:11" x14ac:dyDescent="0.25">
      <c r="A54">
        <v>53</v>
      </c>
      <c r="B54">
        <v>57</v>
      </c>
      <c r="C54" t="s">
        <v>21</v>
      </c>
      <c r="D54" t="s">
        <v>17</v>
      </c>
      <c r="E54" t="s">
        <v>20</v>
      </c>
      <c r="F54">
        <v>56588</v>
      </c>
      <c r="G54">
        <v>19</v>
      </c>
      <c r="H54">
        <v>2</v>
      </c>
      <c r="I54" t="s">
        <v>15</v>
      </c>
      <c r="J54" t="s">
        <v>15</v>
      </c>
      <c r="K54" t="s">
        <v>28</v>
      </c>
    </row>
    <row r="55" spans="1:11" x14ac:dyDescent="0.25">
      <c r="A55">
        <v>54</v>
      </c>
      <c r="B55">
        <v>50</v>
      </c>
      <c r="C55" t="s">
        <v>21</v>
      </c>
      <c r="D55" t="s">
        <v>17</v>
      </c>
      <c r="E55" t="s">
        <v>20</v>
      </c>
      <c r="F55">
        <v>113536</v>
      </c>
      <c r="G55">
        <v>8</v>
      </c>
      <c r="H55">
        <v>2</v>
      </c>
      <c r="I55" t="s">
        <v>15</v>
      </c>
      <c r="J55" t="s">
        <v>14</v>
      </c>
      <c r="K55" t="s">
        <v>17</v>
      </c>
    </row>
    <row r="56" spans="1:11" x14ac:dyDescent="0.25">
      <c r="A56">
        <v>55</v>
      </c>
      <c r="B56">
        <v>50</v>
      </c>
      <c r="C56" t="s">
        <v>21</v>
      </c>
      <c r="D56" t="s">
        <v>25</v>
      </c>
      <c r="E56" t="s">
        <v>24</v>
      </c>
      <c r="F56">
        <v>108525</v>
      </c>
      <c r="G56">
        <v>2</v>
      </c>
      <c r="H56">
        <v>1</v>
      </c>
      <c r="I56" t="s">
        <v>14</v>
      </c>
      <c r="J56" t="s">
        <v>15</v>
      </c>
      <c r="K56" t="s">
        <v>19</v>
      </c>
    </row>
    <row r="57" spans="1:11" x14ac:dyDescent="0.25">
      <c r="A57">
        <v>56</v>
      </c>
      <c r="B57">
        <v>31</v>
      </c>
      <c r="C57" t="s">
        <v>11</v>
      </c>
      <c r="D57" t="s">
        <v>28</v>
      </c>
      <c r="E57" t="s">
        <v>20</v>
      </c>
      <c r="F57">
        <v>65205</v>
      </c>
      <c r="G57">
        <v>7</v>
      </c>
      <c r="H57">
        <v>3</v>
      </c>
      <c r="I57" t="s">
        <v>15</v>
      </c>
      <c r="J57" t="s">
        <v>14</v>
      </c>
      <c r="K57" t="s">
        <v>16</v>
      </c>
    </row>
    <row r="58" spans="1:11" x14ac:dyDescent="0.25">
      <c r="A58">
        <v>57</v>
      </c>
      <c r="B58">
        <v>51</v>
      </c>
      <c r="C58" t="s">
        <v>21</v>
      </c>
      <c r="D58" t="s">
        <v>17</v>
      </c>
      <c r="E58" t="s">
        <v>27</v>
      </c>
      <c r="F58">
        <v>23161</v>
      </c>
      <c r="G58">
        <v>13</v>
      </c>
      <c r="H58">
        <v>1</v>
      </c>
      <c r="I58" t="s">
        <v>15</v>
      </c>
      <c r="J58" t="s">
        <v>14</v>
      </c>
      <c r="K58" t="s">
        <v>16</v>
      </c>
    </row>
    <row r="59" spans="1:11" x14ac:dyDescent="0.25">
      <c r="A59">
        <v>58</v>
      </c>
      <c r="B59">
        <v>46</v>
      </c>
      <c r="C59" t="s">
        <v>21</v>
      </c>
      <c r="D59" t="s">
        <v>28</v>
      </c>
      <c r="E59" t="s">
        <v>24</v>
      </c>
      <c r="F59">
        <v>15772</v>
      </c>
      <c r="G59">
        <v>15</v>
      </c>
      <c r="H59">
        <v>2</v>
      </c>
      <c r="I59" t="s">
        <v>15</v>
      </c>
      <c r="J59" t="s">
        <v>15</v>
      </c>
      <c r="K59" t="s">
        <v>28</v>
      </c>
    </row>
    <row r="60" spans="1:11" x14ac:dyDescent="0.25">
      <c r="A60">
        <v>59</v>
      </c>
      <c r="B60">
        <v>36</v>
      </c>
      <c r="C60" t="s">
        <v>21</v>
      </c>
      <c r="D60" t="s">
        <v>12</v>
      </c>
      <c r="E60" t="s">
        <v>27</v>
      </c>
      <c r="F60">
        <v>72125</v>
      </c>
      <c r="G60">
        <v>8</v>
      </c>
      <c r="H60">
        <v>4</v>
      </c>
      <c r="I60" t="s">
        <v>14</v>
      </c>
      <c r="J60" t="s">
        <v>15</v>
      </c>
      <c r="K60" t="s">
        <v>19</v>
      </c>
    </row>
    <row r="61" spans="1:11" x14ac:dyDescent="0.25">
      <c r="A61">
        <v>60</v>
      </c>
      <c r="B61">
        <v>51</v>
      </c>
      <c r="C61" t="s">
        <v>11</v>
      </c>
      <c r="D61" t="s">
        <v>22</v>
      </c>
      <c r="E61" t="s">
        <v>27</v>
      </c>
      <c r="F61">
        <v>96560</v>
      </c>
      <c r="G61">
        <v>4</v>
      </c>
      <c r="H61">
        <v>4</v>
      </c>
      <c r="I61" t="s">
        <v>15</v>
      </c>
      <c r="J61" t="s">
        <v>14</v>
      </c>
      <c r="K61" t="s">
        <v>19</v>
      </c>
    </row>
    <row r="62" spans="1:11" x14ac:dyDescent="0.25">
      <c r="A62">
        <v>61</v>
      </c>
      <c r="B62">
        <v>51</v>
      </c>
      <c r="C62" t="s">
        <v>11</v>
      </c>
      <c r="D62" t="s">
        <v>28</v>
      </c>
      <c r="E62" t="s">
        <v>23</v>
      </c>
      <c r="F62">
        <v>21590</v>
      </c>
      <c r="G62">
        <v>5</v>
      </c>
      <c r="H62">
        <v>3</v>
      </c>
      <c r="I62" t="s">
        <v>15</v>
      </c>
      <c r="J62" t="s">
        <v>15</v>
      </c>
      <c r="K62" t="s">
        <v>28</v>
      </c>
    </row>
    <row r="63" spans="1:11" x14ac:dyDescent="0.25">
      <c r="A63">
        <v>62</v>
      </c>
      <c r="B63">
        <v>39</v>
      </c>
      <c r="C63" t="s">
        <v>11</v>
      </c>
      <c r="D63" t="s">
        <v>25</v>
      </c>
      <c r="E63" t="s">
        <v>18</v>
      </c>
      <c r="F63">
        <v>48065</v>
      </c>
      <c r="G63">
        <v>13</v>
      </c>
      <c r="H63">
        <v>1</v>
      </c>
      <c r="I63" t="s">
        <v>15</v>
      </c>
      <c r="J63" t="s">
        <v>14</v>
      </c>
      <c r="K63" t="s">
        <v>26</v>
      </c>
    </row>
    <row r="64" spans="1:11" x14ac:dyDescent="0.25">
      <c r="A64">
        <v>63</v>
      </c>
      <c r="B64">
        <v>23</v>
      </c>
      <c r="C64" t="s">
        <v>11</v>
      </c>
      <c r="D64" t="s">
        <v>16</v>
      </c>
      <c r="E64" t="s">
        <v>20</v>
      </c>
      <c r="F64">
        <v>41130</v>
      </c>
      <c r="G64">
        <v>7</v>
      </c>
      <c r="H64">
        <v>1</v>
      </c>
      <c r="I64" t="s">
        <v>15</v>
      </c>
      <c r="J64" t="s">
        <v>14</v>
      </c>
      <c r="K64" t="s">
        <v>16</v>
      </c>
    </row>
    <row r="65" spans="1:11" x14ac:dyDescent="0.25">
      <c r="A65">
        <v>64</v>
      </c>
      <c r="B65">
        <v>35</v>
      </c>
      <c r="C65" t="s">
        <v>11</v>
      </c>
      <c r="D65" t="s">
        <v>17</v>
      </c>
      <c r="E65" t="s">
        <v>24</v>
      </c>
      <c r="F65">
        <v>106680</v>
      </c>
      <c r="G65">
        <v>14</v>
      </c>
      <c r="H65">
        <v>1</v>
      </c>
      <c r="I65" t="s">
        <v>15</v>
      </c>
      <c r="J65" t="s">
        <v>15</v>
      </c>
      <c r="K65" t="s">
        <v>19</v>
      </c>
    </row>
    <row r="66" spans="1:11" x14ac:dyDescent="0.25">
      <c r="A66">
        <v>65</v>
      </c>
      <c r="B66">
        <v>41</v>
      </c>
      <c r="C66" t="s">
        <v>21</v>
      </c>
      <c r="D66" t="s">
        <v>28</v>
      </c>
      <c r="E66" t="s">
        <v>27</v>
      </c>
      <c r="F66">
        <v>90849</v>
      </c>
      <c r="G66">
        <v>3</v>
      </c>
      <c r="H66">
        <v>2</v>
      </c>
      <c r="I66" t="s">
        <v>15</v>
      </c>
      <c r="J66" t="s">
        <v>14</v>
      </c>
      <c r="K66" t="s">
        <v>26</v>
      </c>
    </row>
    <row r="67" spans="1:11" x14ac:dyDescent="0.25">
      <c r="A67">
        <v>66</v>
      </c>
      <c r="B67">
        <v>59</v>
      </c>
      <c r="C67" t="s">
        <v>21</v>
      </c>
      <c r="D67" t="s">
        <v>12</v>
      </c>
      <c r="E67" t="s">
        <v>24</v>
      </c>
      <c r="F67">
        <v>46830</v>
      </c>
      <c r="G67">
        <v>20</v>
      </c>
      <c r="H67">
        <v>1</v>
      </c>
      <c r="I67" t="s">
        <v>15</v>
      </c>
      <c r="J67" t="s">
        <v>14</v>
      </c>
      <c r="K67" t="s">
        <v>16</v>
      </c>
    </row>
    <row r="68" spans="1:11" x14ac:dyDescent="0.25">
      <c r="A68">
        <v>67</v>
      </c>
      <c r="B68">
        <v>24</v>
      </c>
      <c r="C68" t="s">
        <v>11</v>
      </c>
      <c r="D68" t="s">
        <v>17</v>
      </c>
      <c r="E68" t="s">
        <v>27</v>
      </c>
      <c r="F68">
        <v>84827</v>
      </c>
      <c r="G68">
        <v>11</v>
      </c>
      <c r="H68">
        <v>3</v>
      </c>
      <c r="I68" t="s">
        <v>15</v>
      </c>
      <c r="J68" t="s">
        <v>15</v>
      </c>
      <c r="K68" t="s">
        <v>26</v>
      </c>
    </row>
    <row r="69" spans="1:11" x14ac:dyDescent="0.25">
      <c r="A69">
        <v>68</v>
      </c>
      <c r="B69">
        <v>48</v>
      </c>
      <c r="C69" t="s">
        <v>21</v>
      </c>
      <c r="D69" t="s">
        <v>12</v>
      </c>
      <c r="E69" t="s">
        <v>18</v>
      </c>
      <c r="F69">
        <v>28833</v>
      </c>
      <c r="G69">
        <v>15</v>
      </c>
      <c r="H69">
        <v>4</v>
      </c>
      <c r="I69" t="s">
        <v>15</v>
      </c>
      <c r="J69" t="s">
        <v>15</v>
      </c>
      <c r="K69" t="s">
        <v>19</v>
      </c>
    </row>
    <row r="70" spans="1:11" x14ac:dyDescent="0.25">
      <c r="A70">
        <v>69</v>
      </c>
      <c r="B70">
        <v>55</v>
      </c>
      <c r="C70" t="s">
        <v>21</v>
      </c>
      <c r="D70" t="s">
        <v>25</v>
      </c>
      <c r="E70" t="s">
        <v>18</v>
      </c>
      <c r="F70">
        <v>50400</v>
      </c>
      <c r="G70">
        <v>20</v>
      </c>
      <c r="H70">
        <v>1</v>
      </c>
      <c r="I70" t="s">
        <v>15</v>
      </c>
      <c r="J70" t="s">
        <v>15</v>
      </c>
      <c r="K70" t="s">
        <v>17</v>
      </c>
    </row>
    <row r="71" spans="1:11" x14ac:dyDescent="0.25">
      <c r="A71">
        <v>70</v>
      </c>
      <c r="B71">
        <v>50</v>
      </c>
      <c r="C71" t="s">
        <v>21</v>
      </c>
      <c r="D71" t="s">
        <v>25</v>
      </c>
      <c r="E71" t="s">
        <v>13</v>
      </c>
      <c r="F71">
        <v>113366</v>
      </c>
      <c r="G71">
        <v>7</v>
      </c>
      <c r="H71">
        <v>4</v>
      </c>
      <c r="I71" t="s">
        <v>15</v>
      </c>
      <c r="J71" t="s">
        <v>15</v>
      </c>
      <c r="K71" t="s">
        <v>17</v>
      </c>
    </row>
    <row r="72" spans="1:11" x14ac:dyDescent="0.25">
      <c r="A72">
        <v>71</v>
      </c>
      <c r="B72">
        <v>33</v>
      </c>
      <c r="C72" t="s">
        <v>21</v>
      </c>
      <c r="D72" t="s">
        <v>25</v>
      </c>
      <c r="E72" t="s">
        <v>24</v>
      </c>
      <c r="F72">
        <v>42802</v>
      </c>
      <c r="G72">
        <v>15</v>
      </c>
      <c r="H72">
        <v>3</v>
      </c>
      <c r="I72" t="s">
        <v>15</v>
      </c>
      <c r="J72" t="s">
        <v>15</v>
      </c>
      <c r="K72" t="s">
        <v>16</v>
      </c>
    </row>
    <row r="73" spans="1:11" x14ac:dyDescent="0.25">
      <c r="A73">
        <v>72</v>
      </c>
      <c r="B73">
        <v>22</v>
      </c>
      <c r="C73" t="s">
        <v>21</v>
      </c>
      <c r="D73" t="s">
        <v>28</v>
      </c>
      <c r="E73" t="s">
        <v>24</v>
      </c>
      <c r="F73">
        <v>40042</v>
      </c>
      <c r="G73">
        <v>16</v>
      </c>
      <c r="H73">
        <v>2</v>
      </c>
      <c r="I73" t="s">
        <v>14</v>
      </c>
      <c r="J73" t="s">
        <v>14</v>
      </c>
      <c r="K73" t="s">
        <v>28</v>
      </c>
    </row>
    <row r="74" spans="1:11" x14ac:dyDescent="0.25">
      <c r="A74">
        <v>73</v>
      </c>
      <c r="B74">
        <v>53</v>
      </c>
      <c r="C74" t="s">
        <v>11</v>
      </c>
      <c r="D74" t="s">
        <v>28</v>
      </c>
      <c r="E74" t="s">
        <v>27</v>
      </c>
      <c r="F74">
        <v>118931</v>
      </c>
      <c r="G74">
        <v>14</v>
      </c>
      <c r="H74">
        <v>2</v>
      </c>
      <c r="I74" t="s">
        <v>14</v>
      </c>
      <c r="J74" t="s">
        <v>14</v>
      </c>
      <c r="K74" t="s">
        <v>17</v>
      </c>
    </row>
    <row r="75" spans="1:11" x14ac:dyDescent="0.25">
      <c r="A75">
        <v>74</v>
      </c>
      <c r="B75">
        <v>59</v>
      </c>
      <c r="C75" t="s">
        <v>21</v>
      </c>
      <c r="D75" t="s">
        <v>25</v>
      </c>
      <c r="E75" t="s">
        <v>27</v>
      </c>
      <c r="F75">
        <v>77031</v>
      </c>
      <c r="G75">
        <v>11</v>
      </c>
      <c r="H75">
        <v>4</v>
      </c>
      <c r="I75" t="s">
        <v>15</v>
      </c>
      <c r="J75" t="s">
        <v>15</v>
      </c>
      <c r="K75" t="s">
        <v>17</v>
      </c>
    </row>
    <row r="76" spans="1:11" x14ac:dyDescent="0.25">
      <c r="A76">
        <v>75</v>
      </c>
      <c r="B76">
        <v>41</v>
      </c>
      <c r="C76" t="s">
        <v>21</v>
      </c>
      <c r="D76" t="s">
        <v>22</v>
      </c>
      <c r="E76" t="s">
        <v>27</v>
      </c>
      <c r="F76">
        <v>45217</v>
      </c>
      <c r="G76">
        <v>8</v>
      </c>
      <c r="H76">
        <v>2</v>
      </c>
      <c r="I76" t="s">
        <v>15</v>
      </c>
      <c r="J76" t="s">
        <v>14</v>
      </c>
      <c r="K76" t="s">
        <v>19</v>
      </c>
    </row>
    <row r="77" spans="1:11" x14ac:dyDescent="0.25">
      <c r="A77">
        <v>76</v>
      </c>
      <c r="B77">
        <v>35</v>
      </c>
      <c r="C77" t="s">
        <v>11</v>
      </c>
      <c r="D77" t="s">
        <v>25</v>
      </c>
      <c r="E77" t="s">
        <v>18</v>
      </c>
      <c r="F77">
        <v>51241</v>
      </c>
      <c r="G77">
        <v>15</v>
      </c>
      <c r="H77">
        <v>3</v>
      </c>
      <c r="I77" t="s">
        <v>15</v>
      </c>
      <c r="J77" t="s">
        <v>15</v>
      </c>
      <c r="K77" t="s">
        <v>19</v>
      </c>
    </row>
    <row r="78" spans="1:11" x14ac:dyDescent="0.25">
      <c r="A78">
        <v>77</v>
      </c>
      <c r="B78">
        <v>41</v>
      </c>
      <c r="C78" t="s">
        <v>11</v>
      </c>
      <c r="D78" t="s">
        <v>17</v>
      </c>
      <c r="E78" t="s">
        <v>23</v>
      </c>
      <c r="F78">
        <v>107801</v>
      </c>
      <c r="G78">
        <v>0</v>
      </c>
      <c r="H78">
        <v>2</v>
      </c>
      <c r="I78" t="s">
        <v>14</v>
      </c>
      <c r="J78" t="s">
        <v>14</v>
      </c>
      <c r="K78" t="s">
        <v>28</v>
      </c>
    </row>
    <row r="79" spans="1:11" x14ac:dyDescent="0.25">
      <c r="A79">
        <v>78</v>
      </c>
      <c r="B79">
        <v>28</v>
      </c>
      <c r="C79" t="s">
        <v>21</v>
      </c>
      <c r="D79" t="s">
        <v>25</v>
      </c>
      <c r="E79" t="s">
        <v>18</v>
      </c>
      <c r="F79">
        <v>90243</v>
      </c>
      <c r="G79">
        <v>0</v>
      </c>
      <c r="H79">
        <v>1</v>
      </c>
      <c r="I79" t="s">
        <v>15</v>
      </c>
      <c r="J79" t="s">
        <v>15</v>
      </c>
      <c r="K79" t="s">
        <v>17</v>
      </c>
    </row>
    <row r="80" spans="1:11" x14ac:dyDescent="0.25">
      <c r="A80">
        <v>79</v>
      </c>
      <c r="B80">
        <v>52</v>
      </c>
      <c r="C80" t="s">
        <v>11</v>
      </c>
      <c r="D80" t="s">
        <v>16</v>
      </c>
      <c r="E80" t="s">
        <v>18</v>
      </c>
      <c r="F80">
        <v>23564</v>
      </c>
      <c r="G80">
        <v>3</v>
      </c>
      <c r="H80">
        <v>3</v>
      </c>
      <c r="I80" t="s">
        <v>15</v>
      </c>
      <c r="J80" t="s">
        <v>15</v>
      </c>
      <c r="K80" t="s">
        <v>26</v>
      </c>
    </row>
    <row r="81" spans="1:11" x14ac:dyDescent="0.25">
      <c r="A81">
        <v>80</v>
      </c>
      <c r="B81">
        <v>37</v>
      </c>
      <c r="C81" t="s">
        <v>11</v>
      </c>
      <c r="D81" t="s">
        <v>17</v>
      </c>
      <c r="E81" t="s">
        <v>20</v>
      </c>
      <c r="F81">
        <v>88147</v>
      </c>
      <c r="G81">
        <v>3</v>
      </c>
      <c r="H81">
        <v>4</v>
      </c>
      <c r="I81" t="s">
        <v>15</v>
      </c>
      <c r="J81" t="s">
        <v>15</v>
      </c>
      <c r="K81" t="s">
        <v>28</v>
      </c>
    </row>
    <row r="82" spans="1:11" x14ac:dyDescent="0.25">
      <c r="A82">
        <v>81</v>
      </c>
      <c r="B82">
        <v>41</v>
      </c>
      <c r="C82" t="s">
        <v>11</v>
      </c>
      <c r="D82" t="s">
        <v>17</v>
      </c>
      <c r="E82" t="s">
        <v>27</v>
      </c>
      <c r="F82">
        <v>71207</v>
      </c>
      <c r="G82">
        <v>18</v>
      </c>
      <c r="H82">
        <v>1</v>
      </c>
      <c r="I82" t="s">
        <v>15</v>
      </c>
      <c r="J82" t="s">
        <v>15</v>
      </c>
      <c r="K82" t="s">
        <v>19</v>
      </c>
    </row>
    <row r="83" spans="1:11" x14ac:dyDescent="0.25">
      <c r="A83">
        <v>82</v>
      </c>
      <c r="B83">
        <v>35</v>
      </c>
      <c r="C83" t="s">
        <v>11</v>
      </c>
      <c r="D83" t="s">
        <v>17</v>
      </c>
      <c r="E83" t="s">
        <v>13</v>
      </c>
      <c r="F83">
        <v>101563</v>
      </c>
      <c r="G83">
        <v>8</v>
      </c>
      <c r="H83">
        <v>2</v>
      </c>
      <c r="I83" t="s">
        <v>14</v>
      </c>
      <c r="J83" t="s">
        <v>14</v>
      </c>
      <c r="K83" t="s">
        <v>26</v>
      </c>
    </row>
    <row r="84" spans="1:11" x14ac:dyDescent="0.25">
      <c r="A84">
        <v>83</v>
      </c>
      <c r="B84">
        <v>48</v>
      </c>
      <c r="C84" t="s">
        <v>11</v>
      </c>
      <c r="D84" t="s">
        <v>25</v>
      </c>
      <c r="E84" t="s">
        <v>27</v>
      </c>
      <c r="F84">
        <v>105357</v>
      </c>
      <c r="G84">
        <v>14</v>
      </c>
      <c r="H84">
        <v>3</v>
      </c>
      <c r="I84" t="s">
        <v>15</v>
      </c>
      <c r="J84" t="s">
        <v>15</v>
      </c>
      <c r="K84" t="s">
        <v>28</v>
      </c>
    </row>
    <row r="85" spans="1:11" x14ac:dyDescent="0.25">
      <c r="A85">
        <v>84</v>
      </c>
      <c r="B85">
        <v>26</v>
      </c>
      <c r="C85" t="s">
        <v>11</v>
      </c>
      <c r="D85" t="s">
        <v>12</v>
      </c>
      <c r="E85" t="s">
        <v>18</v>
      </c>
      <c r="F85">
        <v>49675</v>
      </c>
      <c r="G85">
        <v>7</v>
      </c>
      <c r="H85">
        <v>3</v>
      </c>
      <c r="I85" t="s">
        <v>15</v>
      </c>
      <c r="J85" t="s">
        <v>14</v>
      </c>
      <c r="K85" t="s">
        <v>19</v>
      </c>
    </row>
    <row r="86" spans="1:11" x14ac:dyDescent="0.25">
      <c r="A86">
        <v>85</v>
      </c>
      <c r="B86">
        <v>26</v>
      </c>
      <c r="C86" t="s">
        <v>21</v>
      </c>
      <c r="D86" t="s">
        <v>28</v>
      </c>
      <c r="E86" t="s">
        <v>13</v>
      </c>
      <c r="F86">
        <v>36747</v>
      </c>
      <c r="G86">
        <v>1</v>
      </c>
      <c r="H86">
        <v>4</v>
      </c>
      <c r="I86" t="s">
        <v>15</v>
      </c>
      <c r="J86" t="s">
        <v>15</v>
      </c>
      <c r="K86" t="s">
        <v>17</v>
      </c>
    </row>
    <row r="87" spans="1:11" x14ac:dyDescent="0.25">
      <c r="A87">
        <v>86</v>
      </c>
      <c r="B87">
        <v>47</v>
      </c>
      <c r="C87" t="s">
        <v>11</v>
      </c>
      <c r="D87" t="s">
        <v>28</v>
      </c>
      <c r="E87" t="s">
        <v>27</v>
      </c>
      <c r="F87">
        <v>80597</v>
      </c>
      <c r="G87">
        <v>8</v>
      </c>
      <c r="H87">
        <v>3</v>
      </c>
      <c r="I87" t="s">
        <v>15</v>
      </c>
      <c r="J87" t="s">
        <v>15</v>
      </c>
      <c r="K87" t="s">
        <v>16</v>
      </c>
    </row>
    <row r="88" spans="1:11" x14ac:dyDescent="0.25">
      <c r="A88">
        <v>87</v>
      </c>
      <c r="B88">
        <v>38</v>
      </c>
      <c r="C88" t="s">
        <v>11</v>
      </c>
      <c r="D88" t="s">
        <v>12</v>
      </c>
      <c r="E88" t="s">
        <v>23</v>
      </c>
      <c r="F88">
        <v>26970</v>
      </c>
      <c r="G88">
        <v>0</v>
      </c>
      <c r="H88">
        <v>1</v>
      </c>
      <c r="I88" t="s">
        <v>15</v>
      </c>
      <c r="J88" t="s">
        <v>14</v>
      </c>
      <c r="K88" t="s">
        <v>19</v>
      </c>
    </row>
    <row r="89" spans="1:11" x14ac:dyDescent="0.25">
      <c r="A89">
        <v>88</v>
      </c>
      <c r="B89">
        <v>52</v>
      </c>
      <c r="C89" t="s">
        <v>11</v>
      </c>
      <c r="D89" t="s">
        <v>17</v>
      </c>
      <c r="E89" t="s">
        <v>20</v>
      </c>
      <c r="F89">
        <v>100394</v>
      </c>
      <c r="G89">
        <v>16</v>
      </c>
      <c r="H89">
        <v>4</v>
      </c>
      <c r="I89" t="s">
        <v>15</v>
      </c>
      <c r="J89" t="s">
        <v>15</v>
      </c>
      <c r="K89" t="s">
        <v>26</v>
      </c>
    </row>
    <row r="90" spans="1:11" x14ac:dyDescent="0.25">
      <c r="A90">
        <v>89</v>
      </c>
      <c r="B90">
        <v>52</v>
      </c>
      <c r="C90" t="s">
        <v>11</v>
      </c>
      <c r="D90" t="s">
        <v>16</v>
      </c>
      <c r="E90" t="s">
        <v>23</v>
      </c>
      <c r="F90">
        <v>68523</v>
      </c>
      <c r="G90">
        <v>11</v>
      </c>
      <c r="H90">
        <v>4</v>
      </c>
      <c r="I90" t="s">
        <v>15</v>
      </c>
      <c r="J90" t="s">
        <v>15</v>
      </c>
      <c r="K90" t="s">
        <v>28</v>
      </c>
    </row>
    <row r="91" spans="1:11" x14ac:dyDescent="0.25">
      <c r="A91">
        <v>90</v>
      </c>
      <c r="B91">
        <v>40</v>
      </c>
      <c r="C91" t="s">
        <v>21</v>
      </c>
      <c r="D91" t="s">
        <v>25</v>
      </c>
      <c r="E91" t="s">
        <v>23</v>
      </c>
      <c r="F91">
        <v>114680</v>
      </c>
      <c r="G91">
        <v>12</v>
      </c>
      <c r="H91">
        <v>1</v>
      </c>
      <c r="I91" t="s">
        <v>15</v>
      </c>
      <c r="J91" t="s">
        <v>14</v>
      </c>
      <c r="K91" t="s">
        <v>28</v>
      </c>
    </row>
    <row r="92" spans="1:11" x14ac:dyDescent="0.25">
      <c r="A92">
        <v>91</v>
      </c>
      <c r="B92">
        <v>54</v>
      </c>
      <c r="C92" t="s">
        <v>11</v>
      </c>
      <c r="D92" t="s">
        <v>17</v>
      </c>
      <c r="E92" t="s">
        <v>23</v>
      </c>
      <c r="F92">
        <v>101200</v>
      </c>
      <c r="G92">
        <v>0</v>
      </c>
      <c r="H92">
        <v>4</v>
      </c>
      <c r="I92" t="s">
        <v>15</v>
      </c>
      <c r="J92" t="s">
        <v>15</v>
      </c>
      <c r="K92" t="s">
        <v>28</v>
      </c>
    </row>
    <row r="93" spans="1:11" x14ac:dyDescent="0.25">
      <c r="A93">
        <v>92</v>
      </c>
      <c r="B93">
        <v>25</v>
      </c>
      <c r="C93" t="s">
        <v>21</v>
      </c>
      <c r="D93" t="s">
        <v>12</v>
      </c>
      <c r="E93" t="s">
        <v>20</v>
      </c>
      <c r="F93">
        <v>50003</v>
      </c>
      <c r="G93">
        <v>6</v>
      </c>
      <c r="H93">
        <v>1</v>
      </c>
      <c r="I93" t="s">
        <v>15</v>
      </c>
      <c r="J93" t="s">
        <v>14</v>
      </c>
      <c r="K93" t="s">
        <v>26</v>
      </c>
    </row>
    <row r="94" spans="1:11" x14ac:dyDescent="0.25">
      <c r="A94">
        <v>93</v>
      </c>
      <c r="B94">
        <v>60</v>
      </c>
      <c r="C94" t="s">
        <v>11</v>
      </c>
      <c r="D94" t="s">
        <v>17</v>
      </c>
      <c r="E94" t="s">
        <v>20</v>
      </c>
      <c r="F94">
        <v>108032</v>
      </c>
      <c r="G94">
        <v>7</v>
      </c>
      <c r="H94">
        <v>1</v>
      </c>
      <c r="I94" t="s">
        <v>15</v>
      </c>
      <c r="J94" t="s">
        <v>14</v>
      </c>
      <c r="K94" t="s">
        <v>19</v>
      </c>
    </row>
    <row r="95" spans="1:11" x14ac:dyDescent="0.25">
      <c r="A95">
        <v>94</v>
      </c>
      <c r="B95">
        <v>29</v>
      </c>
      <c r="C95" t="s">
        <v>21</v>
      </c>
      <c r="D95" t="s">
        <v>17</v>
      </c>
      <c r="E95" t="s">
        <v>27</v>
      </c>
      <c r="F95">
        <v>30396</v>
      </c>
      <c r="G95">
        <v>14</v>
      </c>
      <c r="H95">
        <v>3</v>
      </c>
      <c r="I95" t="s">
        <v>15</v>
      </c>
      <c r="J95" t="s">
        <v>14</v>
      </c>
      <c r="K95" t="s">
        <v>28</v>
      </c>
    </row>
    <row r="96" spans="1:11" x14ac:dyDescent="0.25">
      <c r="A96">
        <v>95</v>
      </c>
      <c r="B96">
        <v>52</v>
      </c>
      <c r="C96" t="s">
        <v>21</v>
      </c>
      <c r="D96" t="s">
        <v>16</v>
      </c>
      <c r="E96" t="s">
        <v>24</v>
      </c>
      <c r="F96">
        <v>46946</v>
      </c>
      <c r="G96">
        <v>15</v>
      </c>
      <c r="H96">
        <v>2</v>
      </c>
      <c r="I96" t="s">
        <v>15</v>
      </c>
      <c r="J96" t="s">
        <v>15</v>
      </c>
      <c r="K96" t="s">
        <v>26</v>
      </c>
    </row>
    <row r="97" spans="1:11" x14ac:dyDescent="0.25">
      <c r="A97">
        <v>96</v>
      </c>
      <c r="B97">
        <v>39</v>
      </c>
      <c r="C97" t="s">
        <v>21</v>
      </c>
      <c r="D97" t="s">
        <v>12</v>
      </c>
      <c r="E97" t="s">
        <v>23</v>
      </c>
      <c r="F97">
        <v>59548</v>
      </c>
      <c r="G97">
        <v>13</v>
      </c>
      <c r="H97">
        <v>4</v>
      </c>
      <c r="I97" t="s">
        <v>15</v>
      </c>
      <c r="J97" t="s">
        <v>15</v>
      </c>
      <c r="K97" t="s">
        <v>19</v>
      </c>
    </row>
    <row r="98" spans="1:11" x14ac:dyDescent="0.25">
      <c r="A98">
        <v>97</v>
      </c>
      <c r="B98">
        <v>50</v>
      </c>
      <c r="C98" t="s">
        <v>21</v>
      </c>
      <c r="D98" t="s">
        <v>28</v>
      </c>
      <c r="E98" t="s">
        <v>23</v>
      </c>
      <c r="F98">
        <v>78483</v>
      </c>
      <c r="G98">
        <v>17</v>
      </c>
      <c r="H98">
        <v>2</v>
      </c>
      <c r="I98" t="s">
        <v>15</v>
      </c>
      <c r="J98" t="s">
        <v>15</v>
      </c>
      <c r="K98" t="s">
        <v>19</v>
      </c>
    </row>
    <row r="99" spans="1:11" x14ac:dyDescent="0.25">
      <c r="A99">
        <v>98</v>
      </c>
      <c r="B99">
        <v>58</v>
      </c>
      <c r="C99" t="s">
        <v>21</v>
      </c>
      <c r="D99" t="s">
        <v>12</v>
      </c>
      <c r="E99" t="s">
        <v>20</v>
      </c>
      <c r="F99">
        <v>45613</v>
      </c>
      <c r="G99">
        <v>12</v>
      </c>
      <c r="H99">
        <v>4</v>
      </c>
      <c r="I99" t="s">
        <v>14</v>
      </c>
      <c r="J99" t="s">
        <v>15</v>
      </c>
      <c r="K99" t="s">
        <v>19</v>
      </c>
    </row>
    <row r="100" spans="1:11" x14ac:dyDescent="0.25">
      <c r="A100">
        <v>99</v>
      </c>
      <c r="B100">
        <v>53</v>
      </c>
      <c r="C100" t="s">
        <v>21</v>
      </c>
      <c r="D100" t="s">
        <v>22</v>
      </c>
      <c r="E100" t="s">
        <v>24</v>
      </c>
      <c r="F100">
        <v>31547</v>
      </c>
      <c r="G100">
        <v>1</v>
      </c>
      <c r="H100">
        <v>4</v>
      </c>
      <c r="I100" t="s">
        <v>15</v>
      </c>
      <c r="J100" t="s">
        <v>15</v>
      </c>
      <c r="K100" t="s">
        <v>26</v>
      </c>
    </row>
    <row r="101" spans="1:11" x14ac:dyDescent="0.25">
      <c r="A101">
        <v>100</v>
      </c>
      <c r="B101">
        <v>31</v>
      </c>
      <c r="C101" t="s">
        <v>21</v>
      </c>
      <c r="D101" t="s">
        <v>25</v>
      </c>
      <c r="E101" t="s">
        <v>24</v>
      </c>
      <c r="F101">
        <v>100823</v>
      </c>
      <c r="G101">
        <v>13</v>
      </c>
      <c r="H101">
        <v>4</v>
      </c>
      <c r="I101" t="s">
        <v>14</v>
      </c>
      <c r="J101" t="s">
        <v>14</v>
      </c>
      <c r="K101" t="s">
        <v>26</v>
      </c>
    </row>
    <row r="102" spans="1:11" x14ac:dyDescent="0.25">
      <c r="A102">
        <v>101</v>
      </c>
      <c r="B102">
        <v>43</v>
      </c>
      <c r="C102" t="s">
        <v>21</v>
      </c>
      <c r="D102" t="s">
        <v>17</v>
      </c>
      <c r="E102" t="s">
        <v>13</v>
      </c>
      <c r="F102">
        <v>64808</v>
      </c>
      <c r="G102">
        <v>17</v>
      </c>
      <c r="H102">
        <v>1</v>
      </c>
      <c r="I102" t="s">
        <v>15</v>
      </c>
      <c r="J102" t="s">
        <v>15</v>
      </c>
      <c r="K102" t="s">
        <v>19</v>
      </c>
    </row>
    <row r="103" spans="1:11" x14ac:dyDescent="0.25">
      <c r="A103">
        <v>102</v>
      </c>
      <c r="B103">
        <v>40</v>
      </c>
      <c r="C103" t="s">
        <v>11</v>
      </c>
      <c r="D103" t="s">
        <v>12</v>
      </c>
      <c r="E103" t="s">
        <v>27</v>
      </c>
      <c r="F103">
        <v>112880</v>
      </c>
      <c r="G103">
        <v>7</v>
      </c>
      <c r="H103">
        <v>1</v>
      </c>
      <c r="I103" t="s">
        <v>15</v>
      </c>
      <c r="J103" t="s">
        <v>14</v>
      </c>
      <c r="K103" t="s">
        <v>28</v>
      </c>
    </row>
    <row r="104" spans="1:11" x14ac:dyDescent="0.25">
      <c r="A104">
        <v>103</v>
      </c>
      <c r="B104">
        <v>32</v>
      </c>
      <c r="C104" t="s">
        <v>11</v>
      </c>
      <c r="D104" t="s">
        <v>25</v>
      </c>
      <c r="E104" t="s">
        <v>23</v>
      </c>
      <c r="F104">
        <v>18794</v>
      </c>
      <c r="G104">
        <v>9</v>
      </c>
      <c r="H104">
        <v>3</v>
      </c>
      <c r="I104" t="s">
        <v>15</v>
      </c>
      <c r="J104" t="s">
        <v>14</v>
      </c>
      <c r="K104" t="s">
        <v>28</v>
      </c>
    </row>
    <row r="105" spans="1:11" x14ac:dyDescent="0.25">
      <c r="A105">
        <v>104</v>
      </c>
      <c r="B105">
        <v>31</v>
      </c>
      <c r="C105" t="s">
        <v>11</v>
      </c>
      <c r="D105" t="s">
        <v>16</v>
      </c>
      <c r="E105" t="s">
        <v>18</v>
      </c>
      <c r="F105">
        <v>84621</v>
      </c>
      <c r="G105">
        <v>7</v>
      </c>
      <c r="H105">
        <v>1</v>
      </c>
      <c r="I105" t="s">
        <v>15</v>
      </c>
      <c r="J105" t="s">
        <v>15</v>
      </c>
      <c r="K105" t="s">
        <v>16</v>
      </c>
    </row>
    <row r="106" spans="1:11" x14ac:dyDescent="0.25">
      <c r="A106">
        <v>105</v>
      </c>
      <c r="B106">
        <v>46</v>
      </c>
      <c r="C106" t="s">
        <v>11</v>
      </c>
      <c r="D106" t="s">
        <v>16</v>
      </c>
      <c r="E106" t="s">
        <v>20</v>
      </c>
      <c r="F106">
        <v>104539</v>
      </c>
      <c r="G106">
        <v>19</v>
      </c>
      <c r="H106">
        <v>3</v>
      </c>
      <c r="I106" t="s">
        <v>15</v>
      </c>
      <c r="J106" t="s">
        <v>14</v>
      </c>
      <c r="K106" t="s">
        <v>28</v>
      </c>
    </row>
    <row r="107" spans="1:11" x14ac:dyDescent="0.25">
      <c r="A107">
        <v>106</v>
      </c>
      <c r="B107">
        <v>38</v>
      </c>
      <c r="C107" t="s">
        <v>11</v>
      </c>
      <c r="D107" t="s">
        <v>22</v>
      </c>
      <c r="E107" t="s">
        <v>20</v>
      </c>
      <c r="F107">
        <v>75981</v>
      </c>
      <c r="G107">
        <v>0</v>
      </c>
      <c r="H107">
        <v>3</v>
      </c>
      <c r="I107" t="s">
        <v>15</v>
      </c>
      <c r="J107" t="s">
        <v>15</v>
      </c>
      <c r="K107" t="s">
        <v>16</v>
      </c>
    </row>
    <row r="108" spans="1:11" x14ac:dyDescent="0.25">
      <c r="A108">
        <v>107</v>
      </c>
      <c r="B108">
        <v>41</v>
      </c>
      <c r="C108" t="s">
        <v>21</v>
      </c>
      <c r="D108" t="s">
        <v>16</v>
      </c>
      <c r="E108" t="s">
        <v>20</v>
      </c>
      <c r="F108">
        <v>70615</v>
      </c>
      <c r="G108">
        <v>20</v>
      </c>
      <c r="H108">
        <v>4</v>
      </c>
      <c r="I108" t="s">
        <v>15</v>
      </c>
      <c r="J108" t="s">
        <v>15</v>
      </c>
      <c r="K108" t="s">
        <v>26</v>
      </c>
    </row>
    <row r="109" spans="1:11" x14ac:dyDescent="0.25">
      <c r="A109">
        <v>108</v>
      </c>
      <c r="B109">
        <v>37</v>
      </c>
      <c r="C109" t="s">
        <v>21</v>
      </c>
      <c r="D109" t="s">
        <v>22</v>
      </c>
      <c r="E109" t="s">
        <v>27</v>
      </c>
      <c r="F109">
        <v>89963</v>
      </c>
      <c r="G109">
        <v>12</v>
      </c>
      <c r="H109">
        <v>4</v>
      </c>
      <c r="I109" t="s">
        <v>15</v>
      </c>
      <c r="J109" t="s">
        <v>15</v>
      </c>
      <c r="K109" t="s">
        <v>17</v>
      </c>
    </row>
    <row r="110" spans="1:11" x14ac:dyDescent="0.25">
      <c r="A110">
        <v>109</v>
      </c>
      <c r="B110">
        <v>22</v>
      </c>
      <c r="C110" t="s">
        <v>21</v>
      </c>
      <c r="D110" t="s">
        <v>25</v>
      </c>
      <c r="E110" t="s">
        <v>18</v>
      </c>
      <c r="F110">
        <v>104889</v>
      </c>
      <c r="G110">
        <v>18</v>
      </c>
      <c r="H110">
        <v>3</v>
      </c>
      <c r="I110" t="s">
        <v>15</v>
      </c>
      <c r="J110" t="s">
        <v>14</v>
      </c>
      <c r="K110" t="s">
        <v>19</v>
      </c>
    </row>
    <row r="111" spans="1:11" x14ac:dyDescent="0.25">
      <c r="A111">
        <v>110</v>
      </c>
      <c r="B111">
        <v>34</v>
      </c>
      <c r="C111" t="s">
        <v>11</v>
      </c>
      <c r="D111" t="s">
        <v>25</v>
      </c>
      <c r="E111" t="s">
        <v>20</v>
      </c>
      <c r="F111">
        <v>47850</v>
      </c>
      <c r="G111">
        <v>19</v>
      </c>
      <c r="H111">
        <v>1</v>
      </c>
      <c r="I111" t="s">
        <v>15</v>
      </c>
      <c r="J111" t="s">
        <v>14</v>
      </c>
      <c r="K111" t="s">
        <v>16</v>
      </c>
    </row>
    <row r="112" spans="1:11" x14ac:dyDescent="0.25">
      <c r="A112">
        <v>111</v>
      </c>
      <c r="B112">
        <v>45</v>
      </c>
      <c r="C112" t="s">
        <v>21</v>
      </c>
      <c r="D112" t="s">
        <v>16</v>
      </c>
      <c r="E112" t="s">
        <v>18</v>
      </c>
      <c r="F112">
        <v>26813</v>
      </c>
      <c r="G112">
        <v>4</v>
      </c>
      <c r="H112">
        <v>2</v>
      </c>
      <c r="I112" t="s">
        <v>15</v>
      </c>
      <c r="J112" t="s">
        <v>15</v>
      </c>
      <c r="K112" t="s">
        <v>16</v>
      </c>
    </row>
    <row r="113" spans="1:11" x14ac:dyDescent="0.25">
      <c r="A113">
        <v>112</v>
      </c>
      <c r="B113">
        <v>45</v>
      </c>
      <c r="C113" t="s">
        <v>21</v>
      </c>
      <c r="D113" t="s">
        <v>28</v>
      </c>
      <c r="E113" t="s">
        <v>23</v>
      </c>
      <c r="F113">
        <v>80771</v>
      </c>
      <c r="G113">
        <v>16</v>
      </c>
      <c r="H113">
        <v>3</v>
      </c>
      <c r="I113" t="s">
        <v>15</v>
      </c>
      <c r="J113" t="s">
        <v>15</v>
      </c>
      <c r="K113" t="s">
        <v>26</v>
      </c>
    </row>
    <row r="114" spans="1:11" x14ac:dyDescent="0.25">
      <c r="A114">
        <v>113</v>
      </c>
      <c r="B114">
        <v>51</v>
      </c>
      <c r="C114" t="s">
        <v>21</v>
      </c>
      <c r="D114" t="s">
        <v>17</v>
      </c>
      <c r="E114" t="s">
        <v>23</v>
      </c>
      <c r="F114">
        <v>33449</v>
      </c>
      <c r="G114">
        <v>2</v>
      </c>
      <c r="H114">
        <v>1</v>
      </c>
      <c r="I114" t="s">
        <v>15</v>
      </c>
      <c r="J114" t="s">
        <v>14</v>
      </c>
      <c r="K114" t="s">
        <v>28</v>
      </c>
    </row>
    <row r="115" spans="1:11" x14ac:dyDescent="0.25">
      <c r="A115">
        <v>114</v>
      </c>
      <c r="B115">
        <v>22</v>
      </c>
      <c r="C115" t="s">
        <v>21</v>
      </c>
      <c r="D115" t="s">
        <v>17</v>
      </c>
      <c r="E115" t="s">
        <v>20</v>
      </c>
      <c r="F115">
        <v>85329</v>
      </c>
      <c r="G115">
        <v>8</v>
      </c>
      <c r="H115">
        <v>3</v>
      </c>
      <c r="I115" t="s">
        <v>15</v>
      </c>
      <c r="J115" t="s">
        <v>14</v>
      </c>
      <c r="K115" t="s">
        <v>26</v>
      </c>
    </row>
    <row r="116" spans="1:11" x14ac:dyDescent="0.25">
      <c r="A116">
        <v>115</v>
      </c>
      <c r="B116">
        <v>36</v>
      </c>
      <c r="C116" t="s">
        <v>11</v>
      </c>
      <c r="D116" t="s">
        <v>12</v>
      </c>
      <c r="E116" t="s">
        <v>13</v>
      </c>
      <c r="F116">
        <v>18280</v>
      </c>
      <c r="G116">
        <v>15</v>
      </c>
      <c r="H116">
        <v>4</v>
      </c>
      <c r="I116" t="s">
        <v>15</v>
      </c>
      <c r="J116" t="s">
        <v>15</v>
      </c>
      <c r="K116" t="s">
        <v>17</v>
      </c>
    </row>
    <row r="117" spans="1:11" x14ac:dyDescent="0.25">
      <c r="A117">
        <v>116</v>
      </c>
      <c r="B117">
        <v>48</v>
      </c>
      <c r="C117" t="s">
        <v>21</v>
      </c>
      <c r="D117" t="s">
        <v>28</v>
      </c>
      <c r="E117" t="s">
        <v>13</v>
      </c>
      <c r="F117">
        <v>33320</v>
      </c>
      <c r="G117">
        <v>3</v>
      </c>
      <c r="H117">
        <v>1</v>
      </c>
      <c r="I117" t="s">
        <v>15</v>
      </c>
      <c r="J117" t="s">
        <v>14</v>
      </c>
      <c r="K117" t="s">
        <v>19</v>
      </c>
    </row>
    <row r="118" spans="1:11" x14ac:dyDescent="0.25">
      <c r="A118">
        <v>117</v>
      </c>
      <c r="B118">
        <v>56</v>
      </c>
      <c r="C118" t="s">
        <v>21</v>
      </c>
      <c r="D118" t="s">
        <v>17</v>
      </c>
      <c r="E118" t="s">
        <v>27</v>
      </c>
      <c r="F118">
        <v>65940</v>
      </c>
      <c r="G118">
        <v>4</v>
      </c>
      <c r="H118">
        <v>2</v>
      </c>
      <c r="I118" t="s">
        <v>15</v>
      </c>
      <c r="J118" t="s">
        <v>15</v>
      </c>
      <c r="K118" t="s">
        <v>28</v>
      </c>
    </row>
    <row r="119" spans="1:11" x14ac:dyDescent="0.25">
      <c r="A119">
        <v>118</v>
      </c>
      <c r="B119">
        <v>28</v>
      </c>
      <c r="C119" t="s">
        <v>21</v>
      </c>
      <c r="D119" t="s">
        <v>22</v>
      </c>
      <c r="E119" t="s">
        <v>27</v>
      </c>
      <c r="F119">
        <v>95694</v>
      </c>
      <c r="G119">
        <v>15</v>
      </c>
      <c r="H119">
        <v>3</v>
      </c>
      <c r="I119" t="s">
        <v>15</v>
      </c>
      <c r="J119" t="s">
        <v>15</v>
      </c>
      <c r="K119" t="s">
        <v>19</v>
      </c>
    </row>
    <row r="120" spans="1:11" x14ac:dyDescent="0.25">
      <c r="A120">
        <v>119</v>
      </c>
      <c r="B120">
        <v>50</v>
      </c>
      <c r="C120" t="s">
        <v>21</v>
      </c>
      <c r="D120" t="s">
        <v>17</v>
      </c>
      <c r="E120" t="s">
        <v>27</v>
      </c>
      <c r="F120">
        <v>45947</v>
      </c>
      <c r="G120">
        <v>14</v>
      </c>
      <c r="H120">
        <v>3</v>
      </c>
      <c r="I120" t="s">
        <v>14</v>
      </c>
      <c r="J120" t="s">
        <v>15</v>
      </c>
      <c r="K120" t="s">
        <v>26</v>
      </c>
    </row>
    <row r="121" spans="1:11" x14ac:dyDescent="0.25">
      <c r="A121">
        <v>120</v>
      </c>
      <c r="B121">
        <v>47</v>
      </c>
      <c r="C121" t="s">
        <v>21</v>
      </c>
      <c r="D121" t="s">
        <v>22</v>
      </c>
      <c r="E121" t="s">
        <v>27</v>
      </c>
      <c r="F121">
        <v>39878</v>
      </c>
      <c r="G121">
        <v>8</v>
      </c>
      <c r="H121">
        <v>2</v>
      </c>
      <c r="I121" t="s">
        <v>15</v>
      </c>
      <c r="J121" t="s">
        <v>14</v>
      </c>
      <c r="K121" t="s">
        <v>16</v>
      </c>
    </row>
    <row r="122" spans="1:11" x14ac:dyDescent="0.25">
      <c r="A122">
        <v>121</v>
      </c>
      <c r="B122">
        <v>23</v>
      </c>
      <c r="C122" t="s">
        <v>11</v>
      </c>
      <c r="D122" t="s">
        <v>17</v>
      </c>
      <c r="E122" t="s">
        <v>18</v>
      </c>
      <c r="F122">
        <v>118126</v>
      </c>
      <c r="G122">
        <v>1</v>
      </c>
      <c r="H122">
        <v>1</v>
      </c>
      <c r="I122" t="s">
        <v>14</v>
      </c>
      <c r="J122" t="s">
        <v>15</v>
      </c>
      <c r="K122" t="s">
        <v>16</v>
      </c>
    </row>
    <row r="123" spans="1:11" x14ac:dyDescent="0.25">
      <c r="A123">
        <v>122</v>
      </c>
      <c r="B123">
        <v>35</v>
      </c>
      <c r="C123" t="s">
        <v>11</v>
      </c>
      <c r="D123" t="s">
        <v>17</v>
      </c>
      <c r="E123" t="s">
        <v>13</v>
      </c>
      <c r="F123">
        <v>43305</v>
      </c>
      <c r="G123">
        <v>18</v>
      </c>
      <c r="H123">
        <v>3</v>
      </c>
      <c r="I123" t="s">
        <v>15</v>
      </c>
      <c r="J123" t="s">
        <v>14</v>
      </c>
      <c r="K123" t="s">
        <v>19</v>
      </c>
    </row>
    <row r="124" spans="1:11" x14ac:dyDescent="0.25">
      <c r="A124">
        <v>123</v>
      </c>
      <c r="B124">
        <v>30</v>
      </c>
      <c r="C124" t="s">
        <v>11</v>
      </c>
      <c r="D124" t="s">
        <v>16</v>
      </c>
      <c r="E124" t="s">
        <v>13</v>
      </c>
      <c r="F124">
        <v>47853</v>
      </c>
      <c r="G124">
        <v>17</v>
      </c>
      <c r="H124">
        <v>3</v>
      </c>
      <c r="I124" t="s">
        <v>14</v>
      </c>
      <c r="J124" t="s">
        <v>14</v>
      </c>
      <c r="K124" t="s">
        <v>19</v>
      </c>
    </row>
    <row r="125" spans="1:11" x14ac:dyDescent="0.25">
      <c r="A125">
        <v>124</v>
      </c>
      <c r="B125">
        <v>59</v>
      </c>
      <c r="C125" t="s">
        <v>11</v>
      </c>
      <c r="D125" t="s">
        <v>12</v>
      </c>
      <c r="E125" t="s">
        <v>20</v>
      </c>
      <c r="F125">
        <v>17068</v>
      </c>
      <c r="G125">
        <v>10</v>
      </c>
      <c r="H125">
        <v>1</v>
      </c>
      <c r="I125" t="s">
        <v>15</v>
      </c>
      <c r="J125" t="s">
        <v>14</v>
      </c>
      <c r="K125" t="s">
        <v>26</v>
      </c>
    </row>
    <row r="126" spans="1:11" x14ac:dyDescent="0.25">
      <c r="A126">
        <v>125</v>
      </c>
      <c r="B126">
        <v>52</v>
      </c>
      <c r="C126" t="s">
        <v>11</v>
      </c>
      <c r="D126" t="s">
        <v>28</v>
      </c>
      <c r="E126" t="s">
        <v>24</v>
      </c>
      <c r="F126">
        <v>116976</v>
      </c>
      <c r="G126">
        <v>14</v>
      </c>
      <c r="H126">
        <v>2</v>
      </c>
      <c r="I126" t="s">
        <v>15</v>
      </c>
      <c r="J126" t="s">
        <v>15</v>
      </c>
      <c r="K126" t="s">
        <v>16</v>
      </c>
    </row>
    <row r="127" spans="1:11" x14ac:dyDescent="0.25">
      <c r="A127">
        <v>126</v>
      </c>
      <c r="B127">
        <v>24</v>
      </c>
      <c r="C127" t="s">
        <v>11</v>
      </c>
      <c r="D127" t="s">
        <v>22</v>
      </c>
      <c r="E127" t="s">
        <v>20</v>
      </c>
      <c r="F127">
        <v>54535</v>
      </c>
      <c r="G127">
        <v>16</v>
      </c>
      <c r="H127">
        <v>4</v>
      </c>
      <c r="I127" t="s">
        <v>15</v>
      </c>
      <c r="J127" t="s">
        <v>15</v>
      </c>
      <c r="K127" t="s">
        <v>28</v>
      </c>
    </row>
    <row r="128" spans="1:11" x14ac:dyDescent="0.25">
      <c r="A128">
        <v>127</v>
      </c>
      <c r="B128">
        <v>28</v>
      </c>
      <c r="C128" t="s">
        <v>11</v>
      </c>
      <c r="D128" t="s">
        <v>25</v>
      </c>
      <c r="E128" t="s">
        <v>24</v>
      </c>
      <c r="F128">
        <v>108375</v>
      </c>
      <c r="G128">
        <v>15</v>
      </c>
      <c r="H128">
        <v>2</v>
      </c>
      <c r="I128" t="s">
        <v>14</v>
      </c>
      <c r="J128" t="s">
        <v>15</v>
      </c>
      <c r="K128" t="s">
        <v>26</v>
      </c>
    </row>
    <row r="129" spans="1:11" x14ac:dyDescent="0.25">
      <c r="A129">
        <v>128</v>
      </c>
      <c r="B129">
        <v>30</v>
      </c>
      <c r="C129" t="s">
        <v>21</v>
      </c>
      <c r="D129" t="s">
        <v>28</v>
      </c>
      <c r="E129" t="s">
        <v>24</v>
      </c>
      <c r="F129">
        <v>96830</v>
      </c>
      <c r="G129">
        <v>8</v>
      </c>
      <c r="H129">
        <v>4</v>
      </c>
      <c r="I129" t="s">
        <v>15</v>
      </c>
      <c r="J129" t="s">
        <v>15</v>
      </c>
      <c r="K129" t="s">
        <v>26</v>
      </c>
    </row>
    <row r="130" spans="1:11" x14ac:dyDescent="0.25">
      <c r="A130">
        <v>129</v>
      </c>
      <c r="B130">
        <v>29</v>
      </c>
      <c r="C130" t="s">
        <v>11</v>
      </c>
      <c r="D130" t="s">
        <v>28</v>
      </c>
      <c r="E130" t="s">
        <v>23</v>
      </c>
      <c r="F130">
        <v>100316</v>
      </c>
      <c r="G130">
        <v>20</v>
      </c>
      <c r="H130">
        <v>4</v>
      </c>
      <c r="I130" t="s">
        <v>15</v>
      </c>
      <c r="J130" t="s">
        <v>14</v>
      </c>
      <c r="K130" t="s">
        <v>28</v>
      </c>
    </row>
    <row r="131" spans="1:11" x14ac:dyDescent="0.25">
      <c r="A131">
        <v>130</v>
      </c>
      <c r="B131">
        <v>48</v>
      </c>
      <c r="C131" t="s">
        <v>21</v>
      </c>
      <c r="D131" t="s">
        <v>25</v>
      </c>
      <c r="E131" t="s">
        <v>18</v>
      </c>
      <c r="F131">
        <v>55966</v>
      </c>
      <c r="G131">
        <v>3</v>
      </c>
      <c r="H131">
        <v>4</v>
      </c>
      <c r="I131" t="s">
        <v>15</v>
      </c>
      <c r="J131" t="s">
        <v>15</v>
      </c>
      <c r="K131" t="s">
        <v>26</v>
      </c>
    </row>
    <row r="132" spans="1:11" x14ac:dyDescent="0.25">
      <c r="A132">
        <v>131</v>
      </c>
      <c r="B132">
        <v>27</v>
      </c>
      <c r="C132" t="s">
        <v>21</v>
      </c>
      <c r="D132" t="s">
        <v>16</v>
      </c>
      <c r="E132" t="s">
        <v>24</v>
      </c>
      <c r="F132">
        <v>27219</v>
      </c>
      <c r="G132">
        <v>2</v>
      </c>
      <c r="H132">
        <v>1</v>
      </c>
      <c r="I132" t="s">
        <v>14</v>
      </c>
      <c r="J132" t="s">
        <v>15</v>
      </c>
      <c r="K132" t="s">
        <v>16</v>
      </c>
    </row>
    <row r="133" spans="1:11" x14ac:dyDescent="0.25">
      <c r="A133">
        <v>132</v>
      </c>
      <c r="B133">
        <v>57</v>
      </c>
      <c r="C133" t="s">
        <v>21</v>
      </c>
      <c r="D133" t="s">
        <v>12</v>
      </c>
      <c r="E133" t="s">
        <v>13</v>
      </c>
      <c r="F133">
        <v>58207</v>
      </c>
      <c r="G133">
        <v>17</v>
      </c>
      <c r="H133">
        <v>3</v>
      </c>
      <c r="I133" t="s">
        <v>15</v>
      </c>
      <c r="J133" t="s">
        <v>14</v>
      </c>
      <c r="K133" t="s">
        <v>16</v>
      </c>
    </row>
    <row r="134" spans="1:11" x14ac:dyDescent="0.25">
      <c r="A134">
        <v>133</v>
      </c>
      <c r="B134">
        <v>41</v>
      </c>
      <c r="C134" t="s">
        <v>21</v>
      </c>
      <c r="D134" t="s">
        <v>16</v>
      </c>
      <c r="E134" t="s">
        <v>13</v>
      </c>
      <c r="F134">
        <v>28579</v>
      </c>
      <c r="G134">
        <v>11</v>
      </c>
      <c r="H134">
        <v>3</v>
      </c>
      <c r="I134" t="s">
        <v>14</v>
      </c>
      <c r="J134" t="s">
        <v>14</v>
      </c>
      <c r="K134" t="s">
        <v>16</v>
      </c>
    </row>
    <row r="135" spans="1:11" x14ac:dyDescent="0.25">
      <c r="A135">
        <v>134</v>
      </c>
      <c r="B135">
        <v>45</v>
      </c>
      <c r="C135" t="s">
        <v>21</v>
      </c>
      <c r="D135" t="s">
        <v>17</v>
      </c>
      <c r="E135" t="s">
        <v>24</v>
      </c>
      <c r="F135">
        <v>114956</v>
      </c>
      <c r="G135">
        <v>3</v>
      </c>
      <c r="H135">
        <v>1</v>
      </c>
      <c r="I135" t="s">
        <v>15</v>
      </c>
      <c r="J135" t="s">
        <v>15</v>
      </c>
      <c r="K135" t="s">
        <v>16</v>
      </c>
    </row>
    <row r="136" spans="1:11" x14ac:dyDescent="0.25">
      <c r="A136">
        <v>135</v>
      </c>
      <c r="B136">
        <v>39</v>
      </c>
      <c r="C136" t="s">
        <v>21</v>
      </c>
      <c r="D136" t="s">
        <v>25</v>
      </c>
      <c r="E136" t="s">
        <v>23</v>
      </c>
      <c r="F136">
        <v>38647</v>
      </c>
      <c r="G136">
        <v>0</v>
      </c>
      <c r="H136">
        <v>1</v>
      </c>
      <c r="I136" t="s">
        <v>15</v>
      </c>
      <c r="J136" t="s">
        <v>15</v>
      </c>
      <c r="K136" t="s">
        <v>19</v>
      </c>
    </row>
    <row r="137" spans="1:11" x14ac:dyDescent="0.25">
      <c r="A137">
        <v>136</v>
      </c>
      <c r="B137">
        <v>31</v>
      </c>
      <c r="C137" t="s">
        <v>11</v>
      </c>
      <c r="D137" t="s">
        <v>22</v>
      </c>
      <c r="E137" t="s">
        <v>27</v>
      </c>
      <c r="F137">
        <v>101159</v>
      </c>
      <c r="G137">
        <v>18</v>
      </c>
      <c r="H137">
        <v>2</v>
      </c>
      <c r="I137" t="s">
        <v>14</v>
      </c>
      <c r="J137" t="s">
        <v>15</v>
      </c>
      <c r="K137" t="s">
        <v>28</v>
      </c>
    </row>
    <row r="138" spans="1:11" x14ac:dyDescent="0.25">
      <c r="A138">
        <v>137</v>
      </c>
      <c r="B138">
        <v>48</v>
      </c>
      <c r="C138" t="s">
        <v>21</v>
      </c>
      <c r="D138" t="s">
        <v>17</v>
      </c>
      <c r="E138" t="s">
        <v>24</v>
      </c>
      <c r="F138">
        <v>59681</v>
      </c>
      <c r="G138">
        <v>14</v>
      </c>
      <c r="H138">
        <v>1</v>
      </c>
      <c r="I138" t="s">
        <v>15</v>
      </c>
      <c r="J138" t="s">
        <v>14</v>
      </c>
      <c r="K138" t="s">
        <v>26</v>
      </c>
    </row>
    <row r="139" spans="1:11" x14ac:dyDescent="0.25">
      <c r="A139">
        <v>138</v>
      </c>
      <c r="B139">
        <v>31</v>
      </c>
      <c r="C139" t="s">
        <v>21</v>
      </c>
      <c r="D139" t="s">
        <v>28</v>
      </c>
      <c r="E139" t="s">
        <v>27</v>
      </c>
      <c r="F139">
        <v>113885</v>
      </c>
      <c r="G139">
        <v>5</v>
      </c>
      <c r="H139">
        <v>4</v>
      </c>
      <c r="I139" t="s">
        <v>15</v>
      </c>
      <c r="J139" t="s">
        <v>14</v>
      </c>
      <c r="K139" t="s">
        <v>28</v>
      </c>
    </row>
    <row r="140" spans="1:11" x14ac:dyDescent="0.25">
      <c r="A140">
        <v>139</v>
      </c>
      <c r="B140">
        <v>60</v>
      </c>
      <c r="C140" t="s">
        <v>11</v>
      </c>
      <c r="D140" t="s">
        <v>25</v>
      </c>
      <c r="E140" t="s">
        <v>20</v>
      </c>
      <c r="F140">
        <v>69287</v>
      </c>
      <c r="G140">
        <v>14</v>
      </c>
      <c r="H140">
        <v>1</v>
      </c>
      <c r="I140" t="s">
        <v>14</v>
      </c>
      <c r="J140" t="s">
        <v>15</v>
      </c>
      <c r="K140" t="s">
        <v>17</v>
      </c>
    </row>
    <row r="141" spans="1:11" x14ac:dyDescent="0.25">
      <c r="A141">
        <v>140</v>
      </c>
      <c r="B141">
        <v>59</v>
      </c>
      <c r="C141" t="s">
        <v>21</v>
      </c>
      <c r="D141" t="s">
        <v>17</v>
      </c>
      <c r="E141" t="s">
        <v>13</v>
      </c>
      <c r="F141">
        <v>84066</v>
      </c>
      <c r="G141">
        <v>15</v>
      </c>
      <c r="H141">
        <v>1</v>
      </c>
      <c r="I141" t="s">
        <v>14</v>
      </c>
      <c r="J141" t="s">
        <v>15</v>
      </c>
      <c r="K141" t="s">
        <v>19</v>
      </c>
    </row>
    <row r="142" spans="1:11" x14ac:dyDescent="0.25">
      <c r="A142">
        <v>141</v>
      </c>
      <c r="B142">
        <v>41</v>
      </c>
      <c r="C142" t="s">
        <v>21</v>
      </c>
      <c r="D142" t="s">
        <v>25</v>
      </c>
      <c r="E142" t="s">
        <v>13</v>
      </c>
      <c r="F142">
        <v>115578</v>
      </c>
      <c r="G142">
        <v>6</v>
      </c>
      <c r="H142">
        <v>1</v>
      </c>
      <c r="I142" t="s">
        <v>15</v>
      </c>
      <c r="J142" t="s">
        <v>14</v>
      </c>
      <c r="K142" t="s">
        <v>28</v>
      </c>
    </row>
    <row r="143" spans="1:11" x14ac:dyDescent="0.25">
      <c r="A143">
        <v>142</v>
      </c>
      <c r="B143">
        <v>49</v>
      </c>
      <c r="C143" t="s">
        <v>11</v>
      </c>
      <c r="D143" t="s">
        <v>17</v>
      </c>
      <c r="E143" t="s">
        <v>24</v>
      </c>
      <c r="F143">
        <v>31932</v>
      </c>
      <c r="G143">
        <v>5</v>
      </c>
      <c r="H143">
        <v>3</v>
      </c>
      <c r="I143" t="s">
        <v>15</v>
      </c>
      <c r="J143" t="s">
        <v>15</v>
      </c>
      <c r="K143" t="s">
        <v>26</v>
      </c>
    </row>
    <row r="144" spans="1:11" x14ac:dyDescent="0.25">
      <c r="A144">
        <v>143</v>
      </c>
      <c r="B144">
        <v>47</v>
      </c>
      <c r="C144" t="s">
        <v>11</v>
      </c>
      <c r="D144" t="s">
        <v>25</v>
      </c>
      <c r="E144" t="s">
        <v>24</v>
      </c>
      <c r="F144">
        <v>72176</v>
      </c>
      <c r="G144">
        <v>1</v>
      </c>
      <c r="H144">
        <v>4</v>
      </c>
      <c r="I144" t="s">
        <v>14</v>
      </c>
      <c r="J144" t="s">
        <v>14</v>
      </c>
      <c r="K144" t="s">
        <v>16</v>
      </c>
    </row>
    <row r="145" spans="1:11" x14ac:dyDescent="0.25">
      <c r="A145">
        <v>144</v>
      </c>
      <c r="B145">
        <v>47</v>
      </c>
      <c r="C145" t="s">
        <v>11</v>
      </c>
      <c r="D145" t="s">
        <v>25</v>
      </c>
      <c r="E145" t="s">
        <v>18</v>
      </c>
      <c r="F145">
        <v>69747</v>
      </c>
      <c r="G145">
        <v>20</v>
      </c>
      <c r="H145">
        <v>4</v>
      </c>
      <c r="I145" t="s">
        <v>14</v>
      </c>
      <c r="J145" t="s">
        <v>15</v>
      </c>
      <c r="K145" t="s">
        <v>17</v>
      </c>
    </row>
    <row r="146" spans="1:11" x14ac:dyDescent="0.25">
      <c r="A146">
        <v>145</v>
      </c>
      <c r="B146">
        <v>27</v>
      </c>
      <c r="C146" t="s">
        <v>21</v>
      </c>
      <c r="D146" t="s">
        <v>17</v>
      </c>
      <c r="E146" t="s">
        <v>13</v>
      </c>
      <c r="F146">
        <v>28875</v>
      </c>
      <c r="G146">
        <v>13</v>
      </c>
      <c r="H146">
        <v>4</v>
      </c>
      <c r="I146" t="s">
        <v>15</v>
      </c>
      <c r="J146" t="s">
        <v>14</v>
      </c>
      <c r="K146" t="s">
        <v>17</v>
      </c>
    </row>
    <row r="147" spans="1:11" x14ac:dyDescent="0.25">
      <c r="A147">
        <v>146</v>
      </c>
      <c r="B147">
        <v>43</v>
      </c>
      <c r="C147" t="s">
        <v>11</v>
      </c>
      <c r="D147" t="s">
        <v>17</v>
      </c>
      <c r="E147" t="s">
        <v>24</v>
      </c>
      <c r="F147">
        <v>58655</v>
      </c>
      <c r="G147">
        <v>7</v>
      </c>
      <c r="H147">
        <v>2</v>
      </c>
      <c r="I147" t="s">
        <v>14</v>
      </c>
      <c r="J147" t="s">
        <v>14</v>
      </c>
      <c r="K147" t="s">
        <v>17</v>
      </c>
    </row>
    <row r="148" spans="1:11" x14ac:dyDescent="0.25">
      <c r="A148">
        <v>147</v>
      </c>
      <c r="B148">
        <v>44</v>
      </c>
      <c r="C148" t="s">
        <v>21</v>
      </c>
      <c r="D148" t="s">
        <v>16</v>
      </c>
      <c r="E148" t="s">
        <v>18</v>
      </c>
      <c r="F148">
        <v>34358</v>
      </c>
      <c r="G148">
        <v>20</v>
      </c>
      <c r="H148">
        <v>2</v>
      </c>
      <c r="I148" t="s">
        <v>14</v>
      </c>
      <c r="J148" t="s">
        <v>14</v>
      </c>
      <c r="K148" t="s">
        <v>26</v>
      </c>
    </row>
    <row r="149" spans="1:11" x14ac:dyDescent="0.25">
      <c r="A149">
        <v>148</v>
      </c>
      <c r="B149">
        <v>33</v>
      </c>
      <c r="C149" t="s">
        <v>21</v>
      </c>
      <c r="D149" t="s">
        <v>12</v>
      </c>
      <c r="E149" t="s">
        <v>24</v>
      </c>
      <c r="F149">
        <v>79764</v>
      </c>
      <c r="G149">
        <v>20</v>
      </c>
      <c r="H149">
        <v>3</v>
      </c>
      <c r="I149" t="s">
        <v>15</v>
      </c>
      <c r="J149" t="s">
        <v>15</v>
      </c>
      <c r="K149" t="s">
        <v>17</v>
      </c>
    </row>
    <row r="150" spans="1:11" x14ac:dyDescent="0.25">
      <c r="A150">
        <v>149</v>
      </c>
      <c r="B150">
        <v>31</v>
      </c>
      <c r="C150" t="s">
        <v>21</v>
      </c>
      <c r="D150" t="s">
        <v>25</v>
      </c>
      <c r="E150" t="s">
        <v>24</v>
      </c>
      <c r="F150">
        <v>23950</v>
      </c>
      <c r="G150">
        <v>14</v>
      </c>
      <c r="H150">
        <v>1</v>
      </c>
      <c r="I150" t="s">
        <v>15</v>
      </c>
      <c r="J150" t="s">
        <v>15</v>
      </c>
      <c r="K150" t="s">
        <v>17</v>
      </c>
    </row>
    <row r="151" spans="1:11" x14ac:dyDescent="0.25">
      <c r="A151">
        <v>150</v>
      </c>
      <c r="B151">
        <v>54</v>
      </c>
      <c r="C151" t="s">
        <v>11</v>
      </c>
      <c r="D151" t="s">
        <v>25</v>
      </c>
      <c r="E151" t="s">
        <v>23</v>
      </c>
      <c r="F151">
        <v>55685</v>
      </c>
      <c r="G151">
        <v>2</v>
      </c>
      <c r="H151">
        <v>1</v>
      </c>
      <c r="I151" t="s">
        <v>15</v>
      </c>
      <c r="J151" t="s">
        <v>15</v>
      </c>
      <c r="K151" t="s">
        <v>26</v>
      </c>
    </row>
    <row r="152" spans="1:11" x14ac:dyDescent="0.25">
      <c r="A152">
        <v>151</v>
      </c>
      <c r="B152">
        <v>60</v>
      </c>
      <c r="C152" t="s">
        <v>11</v>
      </c>
      <c r="D152" t="s">
        <v>28</v>
      </c>
      <c r="E152" t="s">
        <v>24</v>
      </c>
      <c r="F152">
        <v>65394</v>
      </c>
      <c r="G152">
        <v>16</v>
      </c>
      <c r="H152">
        <v>2</v>
      </c>
      <c r="I152" t="s">
        <v>15</v>
      </c>
      <c r="J152" t="s">
        <v>15</v>
      </c>
      <c r="K152" t="s">
        <v>17</v>
      </c>
    </row>
    <row r="153" spans="1:11" x14ac:dyDescent="0.25">
      <c r="A153">
        <v>152</v>
      </c>
      <c r="B153">
        <v>60</v>
      </c>
      <c r="C153" t="s">
        <v>21</v>
      </c>
      <c r="D153" t="s">
        <v>22</v>
      </c>
      <c r="E153" t="s">
        <v>23</v>
      </c>
      <c r="F153">
        <v>80715</v>
      </c>
      <c r="G153">
        <v>15</v>
      </c>
      <c r="H153">
        <v>1</v>
      </c>
      <c r="I153" t="s">
        <v>15</v>
      </c>
      <c r="J153" t="s">
        <v>14</v>
      </c>
      <c r="K153" t="s">
        <v>16</v>
      </c>
    </row>
    <row r="154" spans="1:11" x14ac:dyDescent="0.25">
      <c r="A154">
        <v>153</v>
      </c>
      <c r="B154">
        <v>33</v>
      </c>
      <c r="C154" t="s">
        <v>11</v>
      </c>
      <c r="D154" t="s">
        <v>25</v>
      </c>
      <c r="E154" t="s">
        <v>23</v>
      </c>
      <c r="F154">
        <v>47472</v>
      </c>
      <c r="G154">
        <v>1</v>
      </c>
      <c r="H154">
        <v>3</v>
      </c>
      <c r="I154" t="s">
        <v>15</v>
      </c>
      <c r="J154" t="s">
        <v>15</v>
      </c>
      <c r="K154" t="s">
        <v>28</v>
      </c>
    </row>
    <row r="155" spans="1:11" x14ac:dyDescent="0.25">
      <c r="A155">
        <v>154</v>
      </c>
      <c r="B155">
        <v>48</v>
      </c>
      <c r="C155" t="s">
        <v>21</v>
      </c>
      <c r="D155" t="s">
        <v>22</v>
      </c>
      <c r="E155" t="s">
        <v>23</v>
      </c>
      <c r="F155">
        <v>103984</v>
      </c>
      <c r="G155">
        <v>10</v>
      </c>
      <c r="H155">
        <v>1</v>
      </c>
      <c r="I155" t="s">
        <v>15</v>
      </c>
      <c r="J155" t="s">
        <v>14</v>
      </c>
      <c r="K155" t="s">
        <v>16</v>
      </c>
    </row>
    <row r="156" spans="1:11" x14ac:dyDescent="0.25">
      <c r="A156">
        <v>155</v>
      </c>
      <c r="B156">
        <v>46</v>
      </c>
      <c r="C156" t="s">
        <v>11</v>
      </c>
      <c r="D156" t="s">
        <v>25</v>
      </c>
      <c r="E156" t="s">
        <v>23</v>
      </c>
      <c r="F156">
        <v>48029</v>
      </c>
      <c r="G156">
        <v>9</v>
      </c>
      <c r="H156">
        <v>4</v>
      </c>
      <c r="I156" t="s">
        <v>15</v>
      </c>
      <c r="J156" t="s">
        <v>14</v>
      </c>
      <c r="K156" t="s">
        <v>19</v>
      </c>
    </row>
    <row r="157" spans="1:11" x14ac:dyDescent="0.25">
      <c r="A157">
        <v>156</v>
      </c>
      <c r="B157">
        <v>60</v>
      </c>
      <c r="C157" t="s">
        <v>21</v>
      </c>
      <c r="D157" t="s">
        <v>16</v>
      </c>
      <c r="E157" t="s">
        <v>27</v>
      </c>
      <c r="F157">
        <v>55577</v>
      </c>
      <c r="G157">
        <v>2</v>
      </c>
      <c r="H157">
        <v>1</v>
      </c>
      <c r="I157" t="s">
        <v>15</v>
      </c>
      <c r="J157" t="s">
        <v>15</v>
      </c>
      <c r="K157" t="s">
        <v>28</v>
      </c>
    </row>
    <row r="158" spans="1:11" x14ac:dyDescent="0.25">
      <c r="A158">
        <v>157</v>
      </c>
      <c r="B158">
        <v>54</v>
      </c>
      <c r="C158" t="s">
        <v>11</v>
      </c>
      <c r="D158" t="s">
        <v>25</v>
      </c>
      <c r="E158" t="s">
        <v>20</v>
      </c>
      <c r="F158">
        <v>17389</v>
      </c>
      <c r="G158">
        <v>11</v>
      </c>
      <c r="H158">
        <v>2</v>
      </c>
      <c r="I158" t="s">
        <v>15</v>
      </c>
      <c r="J158" t="s">
        <v>15</v>
      </c>
      <c r="K158" t="s">
        <v>19</v>
      </c>
    </row>
    <row r="159" spans="1:11" x14ac:dyDescent="0.25">
      <c r="A159">
        <v>158</v>
      </c>
      <c r="B159">
        <v>30</v>
      </c>
      <c r="C159" t="s">
        <v>11</v>
      </c>
      <c r="D159" t="s">
        <v>17</v>
      </c>
      <c r="E159" t="s">
        <v>24</v>
      </c>
      <c r="F159">
        <v>25114</v>
      </c>
      <c r="G159">
        <v>4</v>
      </c>
      <c r="H159">
        <v>1</v>
      </c>
      <c r="I159" t="s">
        <v>15</v>
      </c>
      <c r="J159" t="s">
        <v>15</v>
      </c>
      <c r="K159" t="s">
        <v>17</v>
      </c>
    </row>
    <row r="160" spans="1:11" x14ac:dyDescent="0.25">
      <c r="A160">
        <v>159</v>
      </c>
      <c r="B160">
        <v>30</v>
      </c>
      <c r="C160" t="s">
        <v>11</v>
      </c>
      <c r="D160" t="s">
        <v>12</v>
      </c>
      <c r="E160" t="s">
        <v>20</v>
      </c>
      <c r="F160">
        <v>64377</v>
      </c>
      <c r="G160">
        <v>19</v>
      </c>
      <c r="H160">
        <v>1</v>
      </c>
      <c r="I160" t="s">
        <v>14</v>
      </c>
      <c r="J160" t="s">
        <v>14</v>
      </c>
      <c r="K160" t="s">
        <v>28</v>
      </c>
    </row>
    <row r="161" spans="1:11" x14ac:dyDescent="0.25">
      <c r="A161">
        <v>160</v>
      </c>
      <c r="B161">
        <v>45</v>
      </c>
      <c r="C161" t="s">
        <v>21</v>
      </c>
      <c r="D161" t="s">
        <v>16</v>
      </c>
      <c r="E161" t="s">
        <v>24</v>
      </c>
      <c r="F161">
        <v>73222</v>
      </c>
      <c r="G161">
        <v>7</v>
      </c>
      <c r="H161">
        <v>2</v>
      </c>
      <c r="I161" t="s">
        <v>15</v>
      </c>
      <c r="J161" t="s">
        <v>15</v>
      </c>
      <c r="K161" t="s">
        <v>17</v>
      </c>
    </row>
    <row r="162" spans="1:11" x14ac:dyDescent="0.25">
      <c r="A162">
        <v>161</v>
      </c>
      <c r="B162">
        <v>52</v>
      </c>
      <c r="C162" t="s">
        <v>21</v>
      </c>
      <c r="D162" t="s">
        <v>28</v>
      </c>
      <c r="E162" t="s">
        <v>24</v>
      </c>
      <c r="F162">
        <v>63213</v>
      </c>
      <c r="G162">
        <v>6</v>
      </c>
      <c r="H162">
        <v>4</v>
      </c>
      <c r="I162" t="s">
        <v>15</v>
      </c>
      <c r="J162" t="s">
        <v>15</v>
      </c>
      <c r="K162" t="s">
        <v>19</v>
      </c>
    </row>
    <row r="163" spans="1:11" x14ac:dyDescent="0.25">
      <c r="A163">
        <v>162</v>
      </c>
      <c r="B163">
        <v>34</v>
      </c>
      <c r="C163" t="s">
        <v>21</v>
      </c>
      <c r="D163" t="s">
        <v>25</v>
      </c>
      <c r="E163" t="s">
        <v>24</v>
      </c>
      <c r="F163">
        <v>33140</v>
      </c>
      <c r="G163">
        <v>19</v>
      </c>
      <c r="H163">
        <v>1</v>
      </c>
      <c r="I163" t="s">
        <v>14</v>
      </c>
      <c r="J163" t="s">
        <v>15</v>
      </c>
      <c r="K163" t="s">
        <v>16</v>
      </c>
    </row>
    <row r="164" spans="1:11" x14ac:dyDescent="0.25">
      <c r="A164">
        <v>163</v>
      </c>
      <c r="B164">
        <v>29</v>
      </c>
      <c r="C164" t="s">
        <v>11</v>
      </c>
      <c r="D164" t="s">
        <v>28</v>
      </c>
      <c r="E164" t="s">
        <v>13</v>
      </c>
      <c r="F164">
        <v>25993</v>
      </c>
      <c r="G164">
        <v>9</v>
      </c>
      <c r="H164">
        <v>2</v>
      </c>
      <c r="I164" t="s">
        <v>15</v>
      </c>
      <c r="J164" t="s">
        <v>14</v>
      </c>
      <c r="K164" t="s">
        <v>28</v>
      </c>
    </row>
    <row r="165" spans="1:11" x14ac:dyDescent="0.25">
      <c r="A165">
        <v>164</v>
      </c>
      <c r="B165">
        <v>44</v>
      </c>
      <c r="C165" t="s">
        <v>21</v>
      </c>
      <c r="D165" t="s">
        <v>16</v>
      </c>
      <c r="E165" t="s">
        <v>20</v>
      </c>
      <c r="F165">
        <v>69381</v>
      </c>
      <c r="G165">
        <v>0</v>
      </c>
      <c r="H165">
        <v>1</v>
      </c>
      <c r="I165" t="s">
        <v>14</v>
      </c>
      <c r="J165" t="s">
        <v>14</v>
      </c>
      <c r="K165" t="s">
        <v>17</v>
      </c>
    </row>
    <row r="166" spans="1:11" x14ac:dyDescent="0.25">
      <c r="A166">
        <v>165</v>
      </c>
      <c r="B166">
        <v>36</v>
      </c>
      <c r="C166" t="s">
        <v>21</v>
      </c>
      <c r="D166" t="s">
        <v>16</v>
      </c>
      <c r="E166" t="s">
        <v>18</v>
      </c>
      <c r="F166">
        <v>56770</v>
      </c>
      <c r="G166">
        <v>0</v>
      </c>
      <c r="H166">
        <v>1</v>
      </c>
      <c r="I166" t="s">
        <v>15</v>
      </c>
      <c r="J166" t="s">
        <v>14</v>
      </c>
      <c r="K166" t="s">
        <v>17</v>
      </c>
    </row>
    <row r="167" spans="1:11" x14ac:dyDescent="0.25">
      <c r="A167">
        <v>166</v>
      </c>
      <c r="B167">
        <v>52</v>
      </c>
      <c r="C167" t="s">
        <v>11</v>
      </c>
      <c r="D167" t="s">
        <v>22</v>
      </c>
      <c r="E167" t="s">
        <v>13</v>
      </c>
      <c r="F167">
        <v>114462</v>
      </c>
      <c r="G167">
        <v>4</v>
      </c>
      <c r="H167">
        <v>3</v>
      </c>
      <c r="I167" t="s">
        <v>15</v>
      </c>
      <c r="J167" t="s">
        <v>15</v>
      </c>
      <c r="K167" t="s">
        <v>19</v>
      </c>
    </row>
    <row r="168" spans="1:11" x14ac:dyDescent="0.25">
      <c r="A168">
        <v>167</v>
      </c>
      <c r="B168">
        <v>31</v>
      </c>
      <c r="C168" t="s">
        <v>21</v>
      </c>
      <c r="D168" t="s">
        <v>16</v>
      </c>
      <c r="E168" t="s">
        <v>23</v>
      </c>
      <c r="F168">
        <v>110320</v>
      </c>
      <c r="G168">
        <v>17</v>
      </c>
      <c r="H168">
        <v>1</v>
      </c>
      <c r="I168" t="s">
        <v>14</v>
      </c>
      <c r="J168" t="s">
        <v>15</v>
      </c>
      <c r="K168" t="s">
        <v>26</v>
      </c>
    </row>
    <row r="169" spans="1:11" x14ac:dyDescent="0.25">
      <c r="A169">
        <v>168</v>
      </c>
      <c r="B169">
        <v>37</v>
      </c>
      <c r="C169" t="s">
        <v>21</v>
      </c>
      <c r="D169" t="s">
        <v>17</v>
      </c>
      <c r="E169" t="s">
        <v>24</v>
      </c>
      <c r="F169">
        <v>98748</v>
      </c>
      <c r="G169">
        <v>13</v>
      </c>
      <c r="H169">
        <v>1</v>
      </c>
      <c r="I169" t="s">
        <v>14</v>
      </c>
      <c r="J169" t="s">
        <v>15</v>
      </c>
      <c r="K169" t="s">
        <v>16</v>
      </c>
    </row>
    <row r="170" spans="1:11" x14ac:dyDescent="0.25">
      <c r="A170">
        <v>169</v>
      </c>
      <c r="B170">
        <v>58</v>
      </c>
      <c r="C170" t="s">
        <v>11</v>
      </c>
      <c r="D170" t="s">
        <v>17</v>
      </c>
      <c r="E170" t="s">
        <v>23</v>
      </c>
      <c r="F170">
        <v>109181</v>
      </c>
      <c r="G170">
        <v>7</v>
      </c>
      <c r="H170">
        <v>2</v>
      </c>
      <c r="I170" t="s">
        <v>15</v>
      </c>
      <c r="J170" t="s">
        <v>14</v>
      </c>
      <c r="K170" t="s">
        <v>16</v>
      </c>
    </row>
    <row r="171" spans="1:11" x14ac:dyDescent="0.25">
      <c r="A171">
        <v>170</v>
      </c>
      <c r="B171">
        <v>48</v>
      </c>
      <c r="C171" t="s">
        <v>21</v>
      </c>
      <c r="D171" t="s">
        <v>22</v>
      </c>
      <c r="E171" t="s">
        <v>24</v>
      </c>
      <c r="F171">
        <v>102080</v>
      </c>
      <c r="G171">
        <v>5</v>
      </c>
      <c r="H171">
        <v>1</v>
      </c>
      <c r="I171" t="s">
        <v>15</v>
      </c>
      <c r="J171" t="s">
        <v>14</v>
      </c>
      <c r="K171" t="s">
        <v>28</v>
      </c>
    </row>
    <row r="172" spans="1:11" x14ac:dyDescent="0.25">
      <c r="A172">
        <v>171</v>
      </c>
      <c r="B172">
        <v>52</v>
      </c>
      <c r="C172" t="s">
        <v>21</v>
      </c>
      <c r="D172" t="s">
        <v>12</v>
      </c>
      <c r="E172" t="s">
        <v>13</v>
      </c>
      <c r="F172">
        <v>98318</v>
      </c>
      <c r="G172">
        <v>1</v>
      </c>
      <c r="H172">
        <v>3</v>
      </c>
      <c r="I172" t="s">
        <v>15</v>
      </c>
      <c r="J172" t="s">
        <v>15</v>
      </c>
      <c r="K172" t="s">
        <v>26</v>
      </c>
    </row>
    <row r="173" spans="1:11" x14ac:dyDescent="0.25">
      <c r="A173">
        <v>172</v>
      </c>
      <c r="B173">
        <v>44</v>
      </c>
      <c r="C173" t="s">
        <v>21</v>
      </c>
      <c r="D173" t="s">
        <v>16</v>
      </c>
      <c r="E173" t="s">
        <v>13</v>
      </c>
      <c r="F173">
        <v>111068</v>
      </c>
      <c r="G173">
        <v>7</v>
      </c>
      <c r="H173">
        <v>3</v>
      </c>
      <c r="I173" t="s">
        <v>15</v>
      </c>
      <c r="J173" t="s">
        <v>14</v>
      </c>
      <c r="K173" t="s">
        <v>16</v>
      </c>
    </row>
    <row r="174" spans="1:11" x14ac:dyDescent="0.25">
      <c r="A174">
        <v>173</v>
      </c>
      <c r="B174">
        <v>43</v>
      </c>
      <c r="C174" t="s">
        <v>21</v>
      </c>
      <c r="D174" t="s">
        <v>12</v>
      </c>
      <c r="E174" t="s">
        <v>18</v>
      </c>
      <c r="F174">
        <v>37949</v>
      </c>
      <c r="G174">
        <v>20</v>
      </c>
      <c r="H174">
        <v>2</v>
      </c>
      <c r="I174" t="s">
        <v>15</v>
      </c>
      <c r="J174" t="s">
        <v>15</v>
      </c>
      <c r="K174" t="s">
        <v>26</v>
      </c>
    </row>
    <row r="175" spans="1:11" x14ac:dyDescent="0.25">
      <c r="A175">
        <v>174</v>
      </c>
      <c r="B175">
        <v>51</v>
      </c>
      <c r="C175" t="s">
        <v>11</v>
      </c>
      <c r="D175" t="s">
        <v>22</v>
      </c>
      <c r="E175" t="s">
        <v>23</v>
      </c>
      <c r="F175">
        <v>53462</v>
      </c>
      <c r="G175">
        <v>1</v>
      </c>
      <c r="H175">
        <v>3</v>
      </c>
      <c r="I175" t="s">
        <v>14</v>
      </c>
      <c r="J175" t="s">
        <v>14</v>
      </c>
      <c r="K175" t="s">
        <v>16</v>
      </c>
    </row>
    <row r="176" spans="1:11" x14ac:dyDescent="0.25">
      <c r="A176">
        <v>175</v>
      </c>
      <c r="B176">
        <v>47</v>
      </c>
      <c r="C176" t="s">
        <v>11</v>
      </c>
      <c r="D176" t="s">
        <v>25</v>
      </c>
      <c r="E176" t="s">
        <v>23</v>
      </c>
      <c r="F176">
        <v>77049</v>
      </c>
      <c r="G176">
        <v>17</v>
      </c>
      <c r="H176">
        <v>1</v>
      </c>
      <c r="I176" t="s">
        <v>14</v>
      </c>
      <c r="J176" t="s">
        <v>15</v>
      </c>
      <c r="K176" t="s">
        <v>17</v>
      </c>
    </row>
    <row r="177" spans="1:11" x14ac:dyDescent="0.25">
      <c r="A177">
        <v>176</v>
      </c>
      <c r="B177">
        <v>39</v>
      </c>
      <c r="C177" t="s">
        <v>21</v>
      </c>
      <c r="D177" t="s">
        <v>12</v>
      </c>
      <c r="E177" t="s">
        <v>20</v>
      </c>
      <c r="F177">
        <v>119771</v>
      </c>
      <c r="G177">
        <v>3</v>
      </c>
      <c r="H177">
        <v>4</v>
      </c>
      <c r="I177" t="s">
        <v>15</v>
      </c>
      <c r="J177" t="s">
        <v>15</v>
      </c>
      <c r="K177" t="s">
        <v>17</v>
      </c>
    </row>
    <row r="178" spans="1:11" x14ac:dyDescent="0.25">
      <c r="A178">
        <v>177</v>
      </c>
      <c r="B178">
        <v>33</v>
      </c>
      <c r="C178" t="s">
        <v>21</v>
      </c>
      <c r="D178" t="s">
        <v>22</v>
      </c>
      <c r="E178" t="s">
        <v>27</v>
      </c>
      <c r="F178">
        <v>105710</v>
      </c>
      <c r="G178">
        <v>15</v>
      </c>
      <c r="H178">
        <v>4</v>
      </c>
      <c r="I178" t="s">
        <v>15</v>
      </c>
      <c r="J178" t="s">
        <v>15</v>
      </c>
      <c r="K178" t="s">
        <v>26</v>
      </c>
    </row>
    <row r="179" spans="1:11" x14ac:dyDescent="0.25">
      <c r="A179">
        <v>178</v>
      </c>
      <c r="B179">
        <v>49</v>
      </c>
      <c r="C179" t="s">
        <v>11</v>
      </c>
      <c r="D179" t="s">
        <v>25</v>
      </c>
      <c r="E179" t="s">
        <v>27</v>
      </c>
      <c r="F179">
        <v>38652</v>
      </c>
      <c r="G179">
        <v>19</v>
      </c>
      <c r="H179">
        <v>3</v>
      </c>
      <c r="I179" t="s">
        <v>15</v>
      </c>
      <c r="J179" t="s">
        <v>15</v>
      </c>
      <c r="K179" t="s">
        <v>17</v>
      </c>
    </row>
    <row r="180" spans="1:11" x14ac:dyDescent="0.25">
      <c r="A180">
        <v>179</v>
      </c>
      <c r="B180">
        <v>50</v>
      </c>
      <c r="C180" t="s">
        <v>21</v>
      </c>
      <c r="D180" t="s">
        <v>25</v>
      </c>
      <c r="E180" t="s">
        <v>20</v>
      </c>
      <c r="F180">
        <v>109065</v>
      </c>
      <c r="G180">
        <v>19</v>
      </c>
      <c r="H180">
        <v>1</v>
      </c>
      <c r="I180" t="s">
        <v>14</v>
      </c>
      <c r="J180" t="s">
        <v>15</v>
      </c>
      <c r="K180" t="s">
        <v>17</v>
      </c>
    </row>
    <row r="181" spans="1:11" x14ac:dyDescent="0.25">
      <c r="A181">
        <v>180</v>
      </c>
      <c r="B181">
        <v>49</v>
      </c>
      <c r="C181" t="s">
        <v>21</v>
      </c>
      <c r="D181" t="s">
        <v>25</v>
      </c>
      <c r="E181" t="s">
        <v>24</v>
      </c>
      <c r="F181">
        <v>98816</v>
      </c>
      <c r="G181">
        <v>8</v>
      </c>
      <c r="H181">
        <v>2</v>
      </c>
      <c r="I181" t="s">
        <v>14</v>
      </c>
      <c r="J181" t="s">
        <v>14</v>
      </c>
      <c r="K181" t="s">
        <v>26</v>
      </c>
    </row>
    <row r="182" spans="1:11" x14ac:dyDescent="0.25">
      <c r="A182">
        <v>181</v>
      </c>
      <c r="B182">
        <v>31</v>
      </c>
      <c r="C182" t="s">
        <v>11</v>
      </c>
      <c r="D182" t="s">
        <v>16</v>
      </c>
      <c r="E182" t="s">
        <v>27</v>
      </c>
      <c r="F182">
        <v>103878</v>
      </c>
      <c r="G182">
        <v>19</v>
      </c>
      <c r="H182">
        <v>3</v>
      </c>
      <c r="I182" t="s">
        <v>14</v>
      </c>
      <c r="J182" t="s">
        <v>15</v>
      </c>
      <c r="K182" t="s">
        <v>17</v>
      </c>
    </row>
    <row r="183" spans="1:11" x14ac:dyDescent="0.25">
      <c r="A183">
        <v>182</v>
      </c>
      <c r="B183">
        <v>46</v>
      </c>
      <c r="C183" t="s">
        <v>21</v>
      </c>
      <c r="D183" t="s">
        <v>25</v>
      </c>
      <c r="E183" t="s">
        <v>20</v>
      </c>
      <c r="F183">
        <v>19244</v>
      </c>
      <c r="G183">
        <v>18</v>
      </c>
      <c r="H183">
        <v>1</v>
      </c>
      <c r="I183" t="s">
        <v>15</v>
      </c>
      <c r="J183" t="s">
        <v>14</v>
      </c>
      <c r="K183" t="s">
        <v>16</v>
      </c>
    </row>
    <row r="184" spans="1:11" x14ac:dyDescent="0.25">
      <c r="A184">
        <v>183</v>
      </c>
      <c r="B184">
        <v>30</v>
      </c>
      <c r="C184" t="s">
        <v>21</v>
      </c>
      <c r="D184" t="s">
        <v>16</v>
      </c>
      <c r="E184" t="s">
        <v>13</v>
      </c>
      <c r="F184">
        <v>63096</v>
      </c>
      <c r="G184">
        <v>16</v>
      </c>
      <c r="H184">
        <v>1</v>
      </c>
      <c r="I184" t="s">
        <v>15</v>
      </c>
      <c r="J184" t="s">
        <v>15</v>
      </c>
      <c r="K184" t="s">
        <v>19</v>
      </c>
    </row>
    <row r="185" spans="1:11" x14ac:dyDescent="0.25">
      <c r="A185">
        <v>184</v>
      </c>
      <c r="B185">
        <v>53</v>
      </c>
      <c r="C185" t="s">
        <v>21</v>
      </c>
      <c r="D185" t="s">
        <v>12</v>
      </c>
      <c r="E185" t="s">
        <v>20</v>
      </c>
      <c r="F185">
        <v>65723</v>
      </c>
      <c r="G185">
        <v>16</v>
      </c>
      <c r="H185">
        <v>2</v>
      </c>
      <c r="I185" t="s">
        <v>15</v>
      </c>
      <c r="J185" t="s">
        <v>14</v>
      </c>
      <c r="K185" t="s">
        <v>16</v>
      </c>
    </row>
    <row r="186" spans="1:11" x14ac:dyDescent="0.25">
      <c r="A186">
        <v>185</v>
      </c>
      <c r="B186">
        <v>40</v>
      </c>
      <c r="C186" t="s">
        <v>11</v>
      </c>
      <c r="D186" t="s">
        <v>28</v>
      </c>
      <c r="E186" t="s">
        <v>18</v>
      </c>
      <c r="F186">
        <v>41237</v>
      </c>
      <c r="G186">
        <v>15</v>
      </c>
      <c r="H186">
        <v>4</v>
      </c>
      <c r="I186" t="s">
        <v>14</v>
      </c>
      <c r="J186" t="s">
        <v>14</v>
      </c>
      <c r="K186" t="s">
        <v>26</v>
      </c>
    </row>
    <row r="187" spans="1:11" x14ac:dyDescent="0.25">
      <c r="A187">
        <v>186</v>
      </c>
      <c r="B187">
        <v>42</v>
      </c>
      <c r="C187" t="s">
        <v>21</v>
      </c>
      <c r="D187" t="s">
        <v>25</v>
      </c>
      <c r="E187" t="s">
        <v>18</v>
      </c>
      <c r="F187">
        <v>108000</v>
      </c>
      <c r="G187">
        <v>11</v>
      </c>
      <c r="H187">
        <v>2</v>
      </c>
      <c r="I187" t="s">
        <v>15</v>
      </c>
      <c r="J187" t="s">
        <v>14</v>
      </c>
      <c r="K187" t="s">
        <v>17</v>
      </c>
    </row>
    <row r="188" spans="1:11" x14ac:dyDescent="0.25">
      <c r="A188">
        <v>187</v>
      </c>
      <c r="B188">
        <v>54</v>
      </c>
      <c r="C188" t="s">
        <v>11</v>
      </c>
      <c r="D188" t="s">
        <v>28</v>
      </c>
      <c r="E188" t="s">
        <v>13</v>
      </c>
      <c r="F188">
        <v>30907</v>
      </c>
      <c r="G188">
        <v>7</v>
      </c>
      <c r="H188">
        <v>3</v>
      </c>
      <c r="I188" t="s">
        <v>15</v>
      </c>
      <c r="J188" t="s">
        <v>14</v>
      </c>
      <c r="K188" t="s">
        <v>16</v>
      </c>
    </row>
    <row r="189" spans="1:11" x14ac:dyDescent="0.25">
      <c r="A189">
        <v>188</v>
      </c>
      <c r="B189">
        <v>58</v>
      </c>
      <c r="C189" t="s">
        <v>11</v>
      </c>
      <c r="D189" t="s">
        <v>22</v>
      </c>
      <c r="E189" t="s">
        <v>23</v>
      </c>
      <c r="F189">
        <v>76263</v>
      </c>
      <c r="G189">
        <v>11</v>
      </c>
      <c r="H189">
        <v>4</v>
      </c>
      <c r="I189" t="s">
        <v>15</v>
      </c>
      <c r="J189" t="s">
        <v>14</v>
      </c>
      <c r="K189" t="s">
        <v>28</v>
      </c>
    </row>
    <row r="190" spans="1:11" x14ac:dyDescent="0.25">
      <c r="A190">
        <v>189</v>
      </c>
      <c r="B190">
        <v>55</v>
      </c>
      <c r="C190" t="s">
        <v>11</v>
      </c>
      <c r="D190" t="s">
        <v>16</v>
      </c>
      <c r="E190" t="s">
        <v>23</v>
      </c>
      <c r="F190">
        <v>115815</v>
      </c>
      <c r="G190">
        <v>13</v>
      </c>
      <c r="H190">
        <v>1</v>
      </c>
      <c r="I190" t="s">
        <v>15</v>
      </c>
      <c r="J190" t="s">
        <v>15</v>
      </c>
      <c r="K190" t="s">
        <v>28</v>
      </c>
    </row>
    <row r="191" spans="1:11" x14ac:dyDescent="0.25">
      <c r="A191">
        <v>190</v>
      </c>
      <c r="B191">
        <v>51</v>
      </c>
      <c r="C191" t="s">
        <v>11</v>
      </c>
      <c r="D191" t="s">
        <v>16</v>
      </c>
      <c r="E191" t="s">
        <v>20</v>
      </c>
      <c r="F191">
        <v>60156</v>
      </c>
      <c r="G191">
        <v>16</v>
      </c>
      <c r="H191">
        <v>1</v>
      </c>
      <c r="I191" t="s">
        <v>15</v>
      </c>
      <c r="J191" t="s">
        <v>14</v>
      </c>
      <c r="K191" t="s">
        <v>26</v>
      </c>
    </row>
    <row r="192" spans="1:11" x14ac:dyDescent="0.25">
      <c r="A192">
        <v>191</v>
      </c>
      <c r="B192">
        <v>55</v>
      </c>
      <c r="C192" t="s">
        <v>11</v>
      </c>
      <c r="D192" t="s">
        <v>25</v>
      </c>
      <c r="E192" t="s">
        <v>24</v>
      </c>
      <c r="F192">
        <v>54862</v>
      </c>
      <c r="G192">
        <v>4</v>
      </c>
      <c r="H192">
        <v>3</v>
      </c>
      <c r="I192" t="s">
        <v>14</v>
      </c>
      <c r="J192" t="s">
        <v>14</v>
      </c>
      <c r="K192" t="s">
        <v>26</v>
      </c>
    </row>
    <row r="193" spans="1:11" x14ac:dyDescent="0.25">
      <c r="A193">
        <v>192</v>
      </c>
      <c r="B193">
        <v>38</v>
      </c>
      <c r="C193" t="s">
        <v>21</v>
      </c>
      <c r="D193" t="s">
        <v>17</v>
      </c>
      <c r="E193" t="s">
        <v>24</v>
      </c>
      <c r="F193">
        <v>98238</v>
      </c>
      <c r="G193">
        <v>6</v>
      </c>
      <c r="H193">
        <v>1</v>
      </c>
      <c r="I193" t="s">
        <v>14</v>
      </c>
      <c r="J193" t="s">
        <v>15</v>
      </c>
      <c r="K193" t="s">
        <v>16</v>
      </c>
    </row>
    <row r="194" spans="1:11" x14ac:dyDescent="0.25">
      <c r="A194">
        <v>193</v>
      </c>
      <c r="B194">
        <v>32</v>
      </c>
      <c r="C194" t="s">
        <v>21</v>
      </c>
      <c r="D194" t="s">
        <v>17</v>
      </c>
      <c r="E194" t="s">
        <v>13</v>
      </c>
      <c r="F194">
        <v>91106</v>
      </c>
      <c r="G194">
        <v>18</v>
      </c>
      <c r="H194">
        <v>1</v>
      </c>
      <c r="I194" t="s">
        <v>14</v>
      </c>
      <c r="J194" t="s">
        <v>14</v>
      </c>
      <c r="K194" t="s">
        <v>26</v>
      </c>
    </row>
    <row r="195" spans="1:11" x14ac:dyDescent="0.25">
      <c r="A195">
        <v>194</v>
      </c>
      <c r="B195">
        <v>24</v>
      </c>
      <c r="C195" t="s">
        <v>21</v>
      </c>
      <c r="D195" t="s">
        <v>17</v>
      </c>
      <c r="E195" t="s">
        <v>27</v>
      </c>
      <c r="F195">
        <v>116059</v>
      </c>
      <c r="G195">
        <v>20</v>
      </c>
      <c r="H195">
        <v>1</v>
      </c>
      <c r="I195" t="s">
        <v>15</v>
      </c>
      <c r="J195" t="s">
        <v>15</v>
      </c>
      <c r="K195" t="s">
        <v>28</v>
      </c>
    </row>
    <row r="196" spans="1:11" x14ac:dyDescent="0.25">
      <c r="A196">
        <v>195</v>
      </c>
      <c r="B196">
        <v>56</v>
      </c>
      <c r="C196" t="s">
        <v>21</v>
      </c>
      <c r="D196" t="s">
        <v>25</v>
      </c>
      <c r="E196" t="s">
        <v>20</v>
      </c>
      <c r="F196">
        <v>99136</v>
      </c>
      <c r="G196">
        <v>9</v>
      </c>
      <c r="H196">
        <v>1</v>
      </c>
      <c r="I196" t="s">
        <v>15</v>
      </c>
      <c r="J196" t="s">
        <v>15</v>
      </c>
      <c r="K196" t="s">
        <v>26</v>
      </c>
    </row>
    <row r="197" spans="1:11" x14ac:dyDescent="0.25">
      <c r="A197">
        <v>196</v>
      </c>
      <c r="B197">
        <v>32</v>
      </c>
      <c r="C197" t="s">
        <v>21</v>
      </c>
      <c r="D197" t="s">
        <v>17</v>
      </c>
      <c r="E197" t="s">
        <v>18</v>
      </c>
      <c r="F197">
        <v>69476</v>
      </c>
      <c r="G197">
        <v>14</v>
      </c>
      <c r="H197">
        <v>3</v>
      </c>
      <c r="I197" t="s">
        <v>15</v>
      </c>
      <c r="J197" t="s">
        <v>15</v>
      </c>
      <c r="K197" t="s">
        <v>17</v>
      </c>
    </row>
    <row r="198" spans="1:11" x14ac:dyDescent="0.25">
      <c r="A198">
        <v>197</v>
      </c>
      <c r="B198">
        <v>44</v>
      </c>
      <c r="C198" t="s">
        <v>11</v>
      </c>
      <c r="D198" t="s">
        <v>25</v>
      </c>
      <c r="E198" t="s">
        <v>18</v>
      </c>
      <c r="F198">
        <v>32139</v>
      </c>
      <c r="G198">
        <v>12</v>
      </c>
      <c r="H198">
        <v>4</v>
      </c>
      <c r="I198" t="s">
        <v>15</v>
      </c>
      <c r="J198" t="s">
        <v>15</v>
      </c>
      <c r="K198" t="s">
        <v>26</v>
      </c>
    </row>
    <row r="199" spans="1:11" x14ac:dyDescent="0.25">
      <c r="A199">
        <v>198</v>
      </c>
      <c r="B199">
        <v>39</v>
      </c>
      <c r="C199" t="s">
        <v>21</v>
      </c>
      <c r="D199" t="s">
        <v>28</v>
      </c>
      <c r="E199" t="s">
        <v>24</v>
      </c>
      <c r="F199">
        <v>47495</v>
      </c>
      <c r="G199">
        <v>14</v>
      </c>
      <c r="H199">
        <v>4</v>
      </c>
      <c r="I199" t="s">
        <v>14</v>
      </c>
      <c r="J199" t="s">
        <v>14</v>
      </c>
      <c r="K199" t="s">
        <v>19</v>
      </c>
    </row>
    <row r="200" spans="1:11" x14ac:dyDescent="0.25">
      <c r="A200">
        <v>199</v>
      </c>
      <c r="B200">
        <v>32</v>
      </c>
      <c r="C200" t="s">
        <v>11</v>
      </c>
      <c r="D200" t="s">
        <v>28</v>
      </c>
      <c r="E200" t="s">
        <v>24</v>
      </c>
      <c r="F200">
        <v>90718</v>
      </c>
      <c r="G200">
        <v>10</v>
      </c>
      <c r="H200">
        <v>4</v>
      </c>
      <c r="I200" t="s">
        <v>14</v>
      </c>
      <c r="J200" t="s">
        <v>15</v>
      </c>
      <c r="K200" t="s">
        <v>28</v>
      </c>
    </row>
    <row r="201" spans="1:11" x14ac:dyDescent="0.25">
      <c r="A201">
        <v>200</v>
      </c>
      <c r="B201">
        <v>41</v>
      </c>
      <c r="C201" t="s">
        <v>21</v>
      </c>
      <c r="D201" t="s">
        <v>16</v>
      </c>
      <c r="E201" t="s">
        <v>18</v>
      </c>
      <c r="F201">
        <v>18037</v>
      </c>
      <c r="G201">
        <v>15</v>
      </c>
      <c r="H201">
        <v>3</v>
      </c>
      <c r="I201" t="s">
        <v>15</v>
      </c>
      <c r="J201" t="s">
        <v>14</v>
      </c>
      <c r="K201" t="s">
        <v>26</v>
      </c>
    </row>
    <row r="202" spans="1:11" x14ac:dyDescent="0.25">
      <c r="A202">
        <v>201</v>
      </c>
      <c r="B202">
        <v>25</v>
      </c>
      <c r="C202" t="s">
        <v>11</v>
      </c>
      <c r="D202" t="s">
        <v>22</v>
      </c>
      <c r="E202" t="s">
        <v>20</v>
      </c>
      <c r="F202">
        <v>79866</v>
      </c>
      <c r="G202">
        <v>9</v>
      </c>
      <c r="H202">
        <v>2</v>
      </c>
      <c r="I202" t="s">
        <v>15</v>
      </c>
      <c r="J202" t="s">
        <v>15</v>
      </c>
      <c r="K202" t="s">
        <v>17</v>
      </c>
    </row>
    <row r="203" spans="1:11" x14ac:dyDescent="0.25">
      <c r="A203">
        <v>202</v>
      </c>
      <c r="B203">
        <v>45</v>
      </c>
      <c r="C203" t="s">
        <v>11</v>
      </c>
      <c r="D203" t="s">
        <v>25</v>
      </c>
      <c r="E203" t="s">
        <v>24</v>
      </c>
      <c r="F203">
        <v>62964</v>
      </c>
      <c r="G203">
        <v>12</v>
      </c>
      <c r="H203">
        <v>3</v>
      </c>
      <c r="I203" t="s">
        <v>15</v>
      </c>
      <c r="J203" t="s">
        <v>14</v>
      </c>
      <c r="K203" t="s">
        <v>26</v>
      </c>
    </row>
    <row r="204" spans="1:11" x14ac:dyDescent="0.25">
      <c r="A204">
        <v>203</v>
      </c>
      <c r="B204">
        <v>46</v>
      </c>
      <c r="C204" t="s">
        <v>11</v>
      </c>
      <c r="D204" t="s">
        <v>16</v>
      </c>
      <c r="E204" t="s">
        <v>13</v>
      </c>
      <c r="F204">
        <v>74028</v>
      </c>
      <c r="G204">
        <v>16</v>
      </c>
      <c r="H204">
        <v>4</v>
      </c>
      <c r="I204" t="s">
        <v>15</v>
      </c>
      <c r="J204" t="s">
        <v>15</v>
      </c>
      <c r="K204" t="s">
        <v>17</v>
      </c>
    </row>
    <row r="205" spans="1:11" x14ac:dyDescent="0.25">
      <c r="A205">
        <v>204</v>
      </c>
      <c r="B205">
        <v>43</v>
      </c>
      <c r="C205" t="s">
        <v>21</v>
      </c>
      <c r="D205" t="s">
        <v>17</v>
      </c>
      <c r="E205" t="s">
        <v>13</v>
      </c>
      <c r="F205">
        <v>62920</v>
      </c>
      <c r="G205">
        <v>17</v>
      </c>
      <c r="H205">
        <v>1</v>
      </c>
      <c r="I205" t="s">
        <v>14</v>
      </c>
      <c r="J205" t="s">
        <v>14</v>
      </c>
      <c r="K205" t="s">
        <v>26</v>
      </c>
    </row>
    <row r="206" spans="1:11" x14ac:dyDescent="0.25">
      <c r="A206">
        <v>205</v>
      </c>
      <c r="B206">
        <v>30</v>
      </c>
      <c r="C206" t="s">
        <v>11</v>
      </c>
      <c r="D206" t="s">
        <v>25</v>
      </c>
      <c r="E206" t="s">
        <v>24</v>
      </c>
      <c r="F206">
        <v>77094</v>
      </c>
      <c r="G206">
        <v>10</v>
      </c>
      <c r="H206">
        <v>3</v>
      </c>
      <c r="I206" t="s">
        <v>14</v>
      </c>
      <c r="J206" t="s">
        <v>15</v>
      </c>
      <c r="K206" t="s">
        <v>19</v>
      </c>
    </row>
    <row r="207" spans="1:11" x14ac:dyDescent="0.25">
      <c r="A207">
        <v>206</v>
      </c>
      <c r="B207">
        <v>47</v>
      </c>
      <c r="C207" t="s">
        <v>21</v>
      </c>
      <c r="D207" t="s">
        <v>12</v>
      </c>
      <c r="E207" t="s">
        <v>24</v>
      </c>
      <c r="F207">
        <v>111904</v>
      </c>
      <c r="G207">
        <v>19</v>
      </c>
      <c r="H207">
        <v>3</v>
      </c>
      <c r="I207" t="s">
        <v>15</v>
      </c>
      <c r="J207" t="s">
        <v>15</v>
      </c>
      <c r="K207" t="s">
        <v>28</v>
      </c>
    </row>
    <row r="208" spans="1:11" x14ac:dyDescent="0.25">
      <c r="A208">
        <v>207</v>
      </c>
      <c r="B208">
        <v>23</v>
      </c>
      <c r="C208" t="s">
        <v>21</v>
      </c>
      <c r="D208" t="s">
        <v>12</v>
      </c>
      <c r="E208" t="s">
        <v>27</v>
      </c>
      <c r="F208">
        <v>58416</v>
      </c>
      <c r="G208">
        <v>11</v>
      </c>
      <c r="H208">
        <v>1</v>
      </c>
      <c r="I208" t="s">
        <v>15</v>
      </c>
      <c r="J208" t="s">
        <v>14</v>
      </c>
      <c r="K208" t="s">
        <v>16</v>
      </c>
    </row>
    <row r="209" spans="1:11" x14ac:dyDescent="0.25">
      <c r="A209">
        <v>208</v>
      </c>
      <c r="B209">
        <v>52</v>
      </c>
      <c r="C209" t="s">
        <v>21</v>
      </c>
      <c r="D209" t="s">
        <v>16</v>
      </c>
      <c r="E209" t="s">
        <v>24</v>
      </c>
      <c r="F209">
        <v>100929</v>
      </c>
      <c r="G209">
        <v>8</v>
      </c>
      <c r="H209">
        <v>4</v>
      </c>
      <c r="I209" t="s">
        <v>15</v>
      </c>
      <c r="J209" t="s">
        <v>14</v>
      </c>
      <c r="K209" t="s">
        <v>19</v>
      </c>
    </row>
    <row r="210" spans="1:11" x14ac:dyDescent="0.25">
      <c r="A210">
        <v>209</v>
      </c>
      <c r="B210">
        <v>37</v>
      </c>
      <c r="C210" t="s">
        <v>21</v>
      </c>
      <c r="D210" t="s">
        <v>25</v>
      </c>
      <c r="E210" t="s">
        <v>20</v>
      </c>
      <c r="F210">
        <v>90047</v>
      </c>
      <c r="G210">
        <v>1</v>
      </c>
      <c r="H210">
        <v>2</v>
      </c>
      <c r="I210" t="s">
        <v>14</v>
      </c>
      <c r="J210" t="s">
        <v>14</v>
      </c>
      <c r="K210" t="s">
        <v>28</v>
      </c>
    </row>
    <row r="211" spans="1:11" x14ac:dyDescent="0.25">
      <c r="A211">
        <v>210</v>
      </c>
      <c r="B211">
        <v>35</v>
      </c>
      <c r="C211" t="s">
        <v>11</v>
      </c>
      <c r="D211" t="s">
        <v>12</v>
      </c>
      <c r="E211" t="s">
        <v>18</v>
      </c>
      <c r="F211">
        <v>80774</v>
      </c>
      <c r="G211">
        <v>13</v>
      </c>
      <c r="H211">
        <v>2</v>
      </c>
      <c r="I211" t="s">
        <v>15</v>
      </c>
      <c r="J211" t="s">
        <v>15</v>
      </c>
      <c r="K211" t="s">
        <v>16</v>
      </c>
    </row>
    <row r="212" spans="1:11" x14ac:dyDescent="0.25">
      <c r="A212">
        <v>211</v>
      </c>
      <c r="B212">
        <v>42</v>
      </c>
      <c r="C212" t="s">
        <v>11</v>
      </c>
      <c r="D212" t="s">
        <v>28</v>
      </c>
      <c r="E212" t="s">
        <v>24</v>
      </c>
      <c r="F212">
        <v>83875</v>
      </c>
      <c r="G212">
        <v>15</v>
      </c>
      <c r="H212">
        <v>3</v>
      </c>
      <c r="I212" t="s">
        <v>15</v>
      </c>
      <c r="J212" t="s">
        <v>15</v>
      </c>
      <c r="K212" t="s">
        <v>16</v>
      </c>
    </row>
    <row r="213" spans="1:11" x14ac:dyDescent="0.25">
      <c r="A213">
        <v>212</v>
      </c>
      <c r="B213">
        <v>44</v>
      </c>
      <c r="C213" t="s">
        <v>11</v>
      </c>
      <c r="D213" t="s">
        <v>16</v>
      </c>
      <c r="E213" t="s">
        <v>23</v>
      </c>
      <c r="F213">
        <v>105873</v>
      </c>
      <c r="G213">
        <v>20</v>
      </c>
      <c r="H213">
        <v>3</v>
      </c>
      <c r="I213" t="s">
        <v>15</v>
      </c>
      <c r="J213" t="s">
        <v>15</v>
      </c>
      <c r="K213" t="s">
        <v>19</v>
      </c>
    </row>
    <row r="214" spans="1:11" x14ac:dyDescent="0.25">
      <c r="A214">
        <v>213</v>
      </c>
      <c r="B214">
        <v>41</v>
      </c>
      <c r="C214" t="s">
        <v>21</v>
      </c>
      <c r="D214" t="s">
        <v>25</v>
      </c>
      <c r="E214" t="s">
        <v>20</v>
      </c>
      <c r="F214">
        <v>107392</v>
      </c>
      <c r="G214">
        <v>9</v>
      </c>
      <c r="H214">
        <v>3</v>
      </c>
      <c r="I214" t="s">
        <v>15</v>
      </c>
      <c r="J214" t="s">
        <v>14</v>
      </c>
      <c r="K214" t="s">
        <v>16</v>
      </c>
    </row>
    <row r="215" spans="1:11" x14ac:dyDescent="0.25">
      <c r="A215">
        <v>214</v>
      </c>
      <c r="B215">
        <v>39</v>
      </c>
      <c r="C215" t="s">
        <v>21</v>
      </c>
      <c r="D215" t="s">
        <v>25</v>
      </c>
      <c r="E215" t="s">
        <v>18</v>
      </c>
      <c r="F215">
        <v>30974</v>
      </c>
      <c r="G215">
        <v>9</v>
      </c>
      <c r="H215">
        <v>3</v>
      </c>
      <c r="I215" t="s">
        <v>15</v>
      </c>
      <c r="J215" t="s">
        <v>15</v>
      </c>
      <c r="K215" t="s">
        <v>26</v>
      </c>
    </row>
    <row r="216" spans="1:11" x14ac:dyDescent="0.25">
      <c r="A216">
        <v>215</v>
      </c>
      <c r="B216">
        <v>40</v>
      </c>
      <c r="C216" t="s">
        <v>21</v>
      </c>
      <c r="D216" t="s">
        <v>16</v>
      </c>
      <c r="E216" t="s">
        <v>18</v>
      </c>
      <c r="F216">
        <v>60398</v>
      </c>
      <c r="G216">
        <v>2</v>
      </c>
      <c r="H216">
        <v>3</v>
      </c>
      <c r="I216" t="s">
        <v>15</v>
      </c>
      <c r="J216" t="s">
        <v>15</v>
      </c>
      <c r="K216" t="s">
        <v>16</v>
      </c>
    </row>
    <row r="217" spans="1:11" x14ac:dyDescent="0.25">
      <c r="A217">
        <v>216</v>
      </c>
      <c r="B217">
        <v>39</v>
      </c>
      <c r="C217" t="s">
        <v>11</v>
      </c>
      <c r="D217" t="s">
        <v>12</v>
      </c>
      <c r="E217" t="s">
        <v>18</v>
      </c>
      <c r="F217">
        <v>29316</v>
      </c>
      <c r="G217">
        <v>4</v>
      </c>
      <c r="H217">
        <v>1</v>
      </c>
      <c r="I217" t="s">
        <v>14</v>
      </c>
      <c r="J217" t="s">
        <v>14</v>
      </c>
      <c r="K217" t="s">
        <v>26</v>
      </c>
    </row>
    <row r="218" spans="1:11" x14ac:dyDescent="0.25">
      <c r="A218">
        <v>217</v>
      </c>
      <c r="B218">
        <v>48</v>
      </c>
      <c r="C218" t="s">
        <v>11</v>
      </c>
      <c r="D218" t="s">
        <v>22</v>
      </c>
      <c r="E218" t="s">
        <v>24</v>
      </c>
      <c r="F218">
        <v>109025</v>
      </c>
      <c r="G218">
        <v>10</v>
      </c>
      <c r="H218">
        <v>2</v>
      </c>
      <c r="I218" t="s">
        <v>14</v>
      </c>
      <c r="J218" t="s">
        <v>15</v>
      </c>
      <c r="K218" t="s">
        <v>28</v>
      </c>
    </row>
    <row r="219" spans="1:11" x14ac:dyDescent="0.25">
      <c r="A219">
        <v>218</v>
      </c>
      <c r="B219">
        <v>52</v>
      </c>
      <c r="C219" t="s">
        <v>21</v>
      </c>
      <c r="D219" t="s">
        <v>25</v>
      </c>
      <c r="E219" t="s">
        <v>23</v>
      </c>
      <c r="F219">
        <v>100267</v>
      </c>
      <c r="G219">
        <v>15</v>
      </c>
      <c r="H219">
        <v>1</v>
      </c>
      <c r="I219" t="s">
        <v>15</v>
      </c>
      <c r="J219" t="s">
        <v>14</v>
      </c>
      <c r="K219" t="s">
        <v>26</v>
      </c>
    </row>
    <row r="220" spans="1:11" x14ac:dyDescent="0.25">
      <c r="A220">
        <v>219</v>
      </c>
      <c r="B220">
        <v>58</v>
      </c>
      <c r="C220" t="s">
        <v>11</v>
      </c>
      <c r="D220" t="s">
        <v>28</v>
      </c>
      <c r="E220" t="s">
        <v>18</v>
      </c>
      <c r="F220">
        <v>85143</v>
      </c>
      <c r="G220">
        <v>7</v>
      </c>
      <c r="H220">
        <v>1</v>
      </c>
      <c r="I220" t="s">
        <v>15</v>
      </c>
      <c r="J220" t="s">
        <v>14</v>
      </c>
      <c r="K220" t="s">
        <v>28</v>
      </c>
    </row>
    <row r="221" spans="1:11" x14ac:dyDescent="0.25">
      <c r="A221">
        <v>220</v>
      </c>
      <c r="B221">
        <v>53</v>
      </c>
      <c r="C221" t="s">
        <v>11</v>
      </c>
      <c r="D221" t="s">
        <v>25</v>
      </c>
      <c r="E221" t="s">
        <v>24</v>
      </c>
      <c r="F221">
        <v>113173</v>
      </c>
      <c r="G221">
        <v>5</v>
      </c>
      <c r="H221">
        <v>1</v>
      </c>
      <c r="I221" t="s">
        <v>15</v>
      </c>
      <c r="J221" t="s">
        <v>15</v>
      </c>
      <c r="K221" t="s">
        <v>17</v>
      </c>
    </row>
    <row r="222" spans="1:11" x14ac:dyDescent="0.25">
      <c r="A222">
        <v>221</v>
      </c>
      <c r="B222">
        <v>40</v>
      </c>
      <c r="C222" t="s">
        <v>11</v>
      </c>
      <c r="D222" t="s">
        <v>17</v>
      </c>
      <c r="E222" t="s">
        <v>20</v>
      </c>
      <c r="F222">
        <v>99058</v>
      </c>
      <c r="G222">
        <v>14</v>
      </c>
      <c r="H222">
        <v>3</v>
      </c>
      <c r="I222" t="s">
        <v>15</v>
      </c>
      <c r="J222" t="s">
        <v>15</v>
      </c>
      <c r="K222" t="s">
        <v>19</v>
      </c>
    </row>
    <row r="223" spans="1:11" x14ac:dyDescent="0.25">
      <c r="A223">
        <v>222</v>
      </c>
      <c r="B223">
        <v>29</v>
      </c>
      <c r="C223" t="s">
        <v>11</v>
      </c>
      <c r="D223" t="s">
        <v>22</v>
      </c>
      <c r="E223" t="s">
        <v>27</v>
      </c>
      <c r="F223">
        <v>36298</v>
      </c>
      <c r="G223">
        <v>10</v>
      </c>
      <c r="H223">
        <v>3</v>
      </c>
      <c r="I223" t="s">
        <v>15</v>
      </c>
      <c r="J223" t="s">
        <v>15</v>
      </c>
      <c r="K223" t="s">
        <v>17</v>
      </c>
    </row>
    <row r="224" spans="1:11" x14ac:dyDescent="0.25">
      <c r="A224">
        <v>223</v>
      </c>
      <c r="B224">
        <v>58</v>
      </c>
      <c r="C224" t="s">
        <v>21</v>
      </c>
      <c r="D224" t="s">
        <v>22</v>
      </c>
      <c r="E224" t="s">
        <v>20</v>
      </c>
      <c r="F224">
        <v>38002</v>
      </c>
      <c r="G224">
        <v>6</v>
      </c>
      <c r="H224">
        <v>1</v>
      </c>
      <c r="I224" t="s">
        <v>15</v>
      </c>
      <c r="J224" t="s">
        <v>15</v>
      </c>
      <c r="K224" t="s">
        <v>19</v>
      </c>
    </row>
    <row r="225" spans="1:11" x14ac:dyDescent="0.25">
      <c r="A225">
        <v>224</v>
      </c>
      <c r="B225">
        <v>30</v>
      </c>
      <c r="C225" t="s">
        <v>21</v>
      </c>
      <c r="D225" t="s">
        <v>16</v>
      </c>
      <c r="E225" t="s">
        <v>20</v>
      </c>
      <c r="F225">
        <v>57415</v>
      </c>
      <c r="G225">
        <v>15</v>
      </c>
      <c r="H225">
        <v>3</v>
      </c>
      <c r="I225" t="s">
        <v>14</v>
      </c>
      <c r="J225" t="s">
        <v>14</v>
      </c>
      <c r="K225" t="s">
        <v>17</v>
      </c>
    </row>
    <row r="226" spans="1:11" x14ac:dyDescent="0.25">
      <c r="A226">
        <v>225</v>
      </c>
      <c r="B226">
        <v>41</v>
      </c>
      <c r="C226" t="s">
        <v>21</v>
      </c>
      <c r="D226" t="s">
        <v>12</v>
      </c>
      <c r="E226" t="s">
        <v>18</v>
      </c>
      <c r="F226">
        <v>109749</v>
      </c>
      <c r="G226">
        <v>18</v>
      </c>
      <c r="H226">
        <v>1</v>
      </c>
      <c r="I226" t="s">
        <v>15</v>
      </c>
      <c r="J226" t="s">
        <v>14</v>
      </c>
      <c r="K226" t="s">
        <v>26</v>
      </c>
    </row>
    <row r="227" spans="1:11" x14ac:dyDescent="0.25">
      <c r="A227">
        <v>226</v>
      </c>
      <c r="B227">
        <v>51</v>
      </c>
      <c r="C227" t="s">
        <v>21</v>
      </c>
      <c r="D227" t="s">
        <v>12</v>
      </c>
      <c r="E227" t="s">
        <v>13</v>
      </c>
      <c r="F227">
        <v>35934</v>
      </c>
      <c r="G227">
        <v>9</v>
      </c>
      <c r="H227">
        <v>3</v>
      </c>
      <c r="I227" t="s">
        <v>15</v>
      </c>
      <c r="J227" t="s">
        <v>15</v>
      </c>
      <c r="K227" t="s">
        <v>17</v>
      </c>
    </row>
    <row r="228" spans="1:11" x14ac:dyDescent="0.25">
      <c r="A228">
        <v>227</v>
      </c>
      <c r="B228">
        <v>36</v>
      </c>
      <c r="C228" t="s">
        <v>21</v>
      </c>
      <c r="D228" t="s">
        <v>28</v>
      </c>
      <c r="E228" t="s">
        <v>27</v>
      </c>
      <c r="F228">
        <v>32507</v>
      </c>
      <c r="G228">
        <v>7</v>
      </c>
      <c r="H228">
        <v>4</v>
      </c>
      <c r="I228" t="s">
        <v>14</v>
      </c>
      <c r="J228" t="s">
        <v>15</v>
      </c>
      <c r="K228" t="s">
        <v>16</v>
      </c>
    </row>
    <row r="229" spans="1:11" x14ac:dyDescent="0.25">
      <c r="A229">
        <v>228</v>
      </c>
      <c r="B229">
        <v>35</v>
      </c>
      <c r="C229" t="s">
        <v>21</v>
      </c>
      <c r="D229" t="s">
        <v>22</v>
      </c>
      <c r="E229" t="s">
        <v>24</v>
      </c>
      <c r="F229">
        <v>104173</v>
      </c>
      <c r="G229">
        <v>7</v>
      </c>
      <c r="H229">
        <v>1</v>
      </c>
      <c r="I229" t="s">
        <v>15</v>
      </c>
      <c r="J229" t="s">
        <v>14</v>
      </c>
      <c r="K229" t="s">
        <v>26</v>
      </c>
    </row>
    <row r="230" spans="1:11" x14ac:dyDescent="0.25">
      <c r="A230">
        <v>229</v>
      </c>
      <c r="B230">
        <v>57</v>
      </c>
      <c r="C230" t="s">
        <v>21</v>
      </c>
      <c r="D230" t="s">
        <v>22</v>
      </c>
      <c r="E230" t="s">
        <v>27</v>
      </c>
      <c r="F230">
        <v>41497</v>
      </c>
      <c r="G230">
        <v>16</v>
      </c>
      <c r="H230">
        <v>2</v>
      </c>
      <c r="I230" t="s">
        <v>14</v>
      </c>
      <c r="J230" t="s">
        <v>14</v>
      </c>
      <c r="K230" t="s">
        <v>16</v>
      </c>
    </row>
    <row r="231" spans="1:11" x14ac:dyDescent="0.25">
      <c r="A231">
        <v>230</v>
      </c>
      <c r="B231">
        <v>53</v>
      </c>
      <c r="C231" t="s">
        <v>21</v>
      </c>
      <c r="D231" t="s">
        <v>16</v>
      </c>
      <c r="E231" t="s">
        <v>24</v>
      </c>
      <c r="F231">
        <v>81895</v>
      </c>
      <c r="G231">
        <v>2</v>
      </c>
      <c r="H231">
        <v>4</v>
      </c>
      <c r="I231" t="s">
        <v>15</v>
      </c>
      <c r="J231" t="s">
        <v>15</v>
      </c>
      <c r="K231" t="s">
        <v>28</v>
      </c>
    </row>
    <row r="232" spans="1:11" x14ac:dyDescent="0.25">
      <c r="A232">
        <v>231</v>
      </c>
      <c r="B232">
        <v>58</v>
      </c>
      <c r="C232" t="s">
        <v>21</v>
      </c>
      <c r="D232" t="s">
        <v>12</v>
      </c>
      <c r="E232" t="s">
        <v>13</v>
      </c>
      <c r="F232">
        <v>88242</v>
      </c>
      <c r="G232">
        <v>1</v>
      </c>
      <c r="H232">
        <v>4</v>
      </c>
      <c r="I232" t="s">
        <v>15</v>
      </c>
      <c r="J232" t="s">
        <v>15</v>
      </c>
      <c r="K232" t="s">
        <v>17</v>
      </c>
    </row>
    <row r="233" spans="1:11" x14ac:dyDescent="0.25">
      <c r="A233">
        <v>232</v>
      </c>
      <c r="B233">
        <v>22</v>
      </c>
      <c r="C233" t="s">
        <v>21</v>
      </c>
      <c r="D233" t="s">
        <v>12</v>
      </c>
      <c r="E233" t="s">
        <v>13</v>
      </c>
      <c r="F233">
        <v>90800</v>
      </c>
      <c r="G233">
        <v>6</v>
      </c>
      <c r="H233">
        <v>1</v>
      </c>
      <c r="I233" t="s">
        <v>14</v>
      </c>
      <c r="J233" t="s">
        <v>14</v>
      </c>
      <c r="K233" t="s">
        <v>26</v>
      </c>
    </row>
    <row r="234" spans="1:11" x14ac:dyDescent="0.25">
      <c r="A234">
        <v>233</v>
      </c>
      <c r="B234">
        <v>52</v>
      </c>
      <c r="C234" t="s">
        <v>11</v>
      </c>
      <c r="D234" t="s">
        <v>12</v>
      </c>
      <c r="E234" t="s">
        <v>27</v>
      </c>
      <c r="F234">
        <v>52629</v>
      </c>
      <c r="G234">
        <v>1</v>
      </c>
      <c r="H234">
        <v>4</v>
      </c>
      <c r="I234" t="s">
        <v>14</v>
      </c>
      <c r="J234" t="s">
        <v>15</v>
      </c>
      <c r="K234" t="s">
        <v>17</v>
      </c>
    </row>
    <row r="235" spans="1:11" x14ac:dyDescent="0.25">
      <c r="A235">
        <v>234</v>
      </c>
      <c r="B235">
        <v>46</v>
      </c>
      <c r="C235" t="s">
        <v>11</v>
      </c>
      <c r="D235" t="s">
        <v>12</v>
      </c>
      <c r="E235" t="s">
        <v>23</v>
      </c>
      <c r="F235">
        <v>64479</v>
      </c>
      <c r="G235">
        <v>14</v>
      </c>
      <c r="H235">
        <v>1</v>
      </c>
      <c r="I235" t="s">
        <v>14</v>
      </c>
      <c r="J235" t="s">
        <v>15</v>
      </c>
      <c r="K235" t="s">
        <v>19</v>
      </c>
    </row>
    <row r="236" spans="1:11" x14ac:dyDescent="0.25">
      <c r="A236">
        <v>235</v>
      </c>
      <c r="B236">
        <v>56</v>
      </c>
      <c r="C236" t="s">
        <v>11</v>
      </c>
      <c r="D236" t="s">
        <v>22</v>
      </c>
      <c r="E236" t="s">
        <v>13</v>
      </c>
      <c r="F236">
        <v>84316</v>
      </c>
      <c r="G236">
        <v>12</v>
      </c>
      <c r="H236">
        <v>3</v>
      </c>
      <c r="I236" t="s">
        <v>15</v>
      </c>
      <c r="J236" t="s">
        <v>14</v>
      </c>
      <c r="K236" t="s">
        <v>28</v>
      </c>
    </row>
    <row r="237" spans="1:11" x14ac:dyDescent="0.25">
      <c r="A237">
        <v>236</v>
      </c>
      <c r="B237">
        <v>56</v>
      </c>
      <c r="C237" t="s">
        <v>11</v>
      </c>
      <c r="D237" t="s">
        <v>28</v>
      </c>
      <c r="E237" t="s">
        <v>23</v>
      </c>
      <c r="F237">
        <v>84721</v>
      </c>
      <c r="G237">
        <v>13</v>
      </c>
      <c r="H237">
        <v>2</v>
      </c>
      <c r="I237" t="s">
        <v>15</v>
      </c>
      <c r="J237" t="s">
        <v>15</v>
      </c>
      <c r="K237" t="s">
        <v>17</v>
      </c>
    </row>
    <row r="238" spans="1:11" x14ac:dyDescent="0.25">
      <c r="A238">
        <v>237</v>
      </c>
      <c r="B238">
        <v>34</v>
      </c>
      <c r="C238" t="s">
        <v>11</v>
      </c>
      <c r="D238" t="s">
        <v>16</v>
      </c>
      <c r="E238" t="s">
        <v>18</v>
      </c>
      <c r="F238">
        <v>19222</v>
      </c>
      <c r="G238">
        <v>3</v>
      </c>
      <c r="H238">
        <v>1</v>
      </c>
      <c r="I238" t="s">
        <v>15</v>
      </c>
      <c r="J238" t="s">
        <v>15</v>
      </c>
      <c r="K238" t="s">
        <v>26</v>
      </c>
    </row>
    <row r="239" spans="1:11" x14ac:dyDescent="0.25">
      <c r="A239">
        <v>238</v>
      </c>
      <c r="B239">
        <v>60</v>
      </c>
      <c r="C239" t="s">
        <v>11</v>
      </c>
      <c r="D239" t="s">
        <v>28</v>
      </c>
      <c r="E239" t="s">
        <v>20</v>
      </c>
      <c r="F239">
        <v>73515</v>
      </c>
      <c r="G239">
        <v>1</v>
      </c>
      <c r="H239">
        <v>2</v>
      </c>
      <c r="I239" t="s">
        <v>14</v>
      </c>
      <c r="J239" t="s">
        <v>14</v>
      </c>
      <c r="K239" t="s">
        <v>16</v>
      </c>
    </row>
    <row r="240" spans="1:11" x14ac:dyDescent="0.25">
      <c r="A240">
        <v>239</v>
      </c>
      <c r="B240">
        <v>35</v>
      </c>
      <c r="C240" t="s">
        <v>21</v>
      </c>
      <c r="D240" t="s">
        <v>17</v>
      </c>
      <c r="E240" t="s">
        <v>24</v>
      </c>
      <c r="F240">
        <v>33367</v>
      </c>
      <c r="G240">
        <v>1</v>
      </c>
      <c r="H240">
        <v>3</v>
      </c>
      <c r="I240" t="s">
        <v>14</v>
      </c>
      <c r="J240" t="s">
        <v>15</v>
      </c>
      <c r="K240" t="s">
        <v>19</v>
      </c>
    </row>
    <row r="241" spans="1:11" x14ac:dyDescent="0.25">
      <c r="A241">
        <v>240</v>
      </c>
      <c r="B241">
        <v>41</v>
      </c>
      <c r="C241" t="s">
        <v>21</v>
      </c>
      <c r="D241" t="s">
        <v>22</v>
      </c>
      <c r="E241" t="s">
        <v>24</v>
      </c>
      <c r="F241">
        <v>101535</v>
      </c>
      <c r="G241">
        <v>4</v>
      </c>
      <c r="H241">
        <v>2</v>
      </c>
      <c r="I241" t="s">
        <v>15</v>
      </c>
      <c r="J241" t="s">
        <v>14</v>
      </c>
      <c r="K241" t="s">
        <v>28</v>
      </c>
    </row>
    <row r="242" spans="1:11" x14ac:dyDescent="0.25">
      <c r="A242">
        <v>241</v>
      </c>
      <c r="B242">
        <v>57</v>
      </c>
      <c r="C242" t="s">
        <v>21</v>
      </c>
      <c r="D242" t="s">
        <v>17</v>
      </c>
      <c r="E242" t="s">
        <v>23</v>
      </c>
      <c r="F242">
        <v>21145</v>
      </c>
      <c r="G242">
        <v>15</v>
      </c>
      <c r="H242">
        <v>4</v>
      </c>
      <c r="I242" t="s">
        <v>15</v>
      </c>
      <c r="J242" t="s">
        <v>15</v>
      </c>
      <c r="K242" t="s">
        <v>28</v>
      </c>
    </row>
    <row r="243" spans="1:11" x14ac:dyDescent="0.25">
      <c r="A243">
        <v>242</v>
      </c>
      <c r="B243">
        <v>31</v>
      </c>
      <c r="C243" t="s">
        <v>21</v>
      </c>
      <c r="D243" t="s">
        <v>16</v>
      </c>
      <c r="E243" t="s">
        <v>18</v>
      </c>
      <c r="F243">
        <v>64343</v>
      </c>
      <c r="G243">
        <v>9</v>
      </c>
      <c r="H243">
        <v>3</v>
      </c>
      <c r="I243" t="s">
        <v>15</v>
      </c>
      <c r="J243" t="s">
        <v>14</v>
      </c>
      <c r="K243" t="s">
        <v>19</v>
      </c>
    </row>
    <row r="244" spans="1:11" x14ac:dyDescent="0.25">
      <c r="A244">
        <v>243</v>
      </c>
      <c r="B244">
        <v>51</v>
      </c>
      <c r="C244" t="s">
        <v>11</v>
      </c>
      <c r="D244" t="s">
        <v>28</v>
      </c>
      <c r="E244" t="s">
        <v>18</v>
      </c>
      <c r="F244">
        <v>88713</v>
      </c>
      <c r="G244">
        <v>1</v>
      </c>
      <c r="H244">
        <v>3</v>
      </c>
      <c r="I244" t="s">
        <v>15</v>
      </c>
      <c r="J244" t="s">
        <v>15</v>
      </c>
      <c r="K244" t="s">
        <v>19</v>
      </c>
    </row>
    <row r="245" spans="1:11" x14ac:dyDescent="0.25">
      <c r="A245">
        <v>244</v>
      </c>
      <c r="B245">
        <v>43</v>
      </c>
      <c r="C245" t="s">
        <v>11</v>
      </c>
      <c r="D245" t="s">
        <v>17</v>
      </c>
      <c r="E245" t="s">
        <v>27</v>
      </c>
      <c r="F245">
        <v>25363</v>
      </c>
      <c r="G245">
        <v>20</v>
      </c>
      <c r="H245">
        <v>2</v>
      </c>
      <c r="I245" t="s">
        <v>15</v>
      </c>
      <c r="J245" t="s">
        <v>15</v>
      </c>
      <c r="K245" t="s">
        <v>26</v>
      </c>
    </row>
    <row r="246" spans="1:11" x14ac:dyDescent="0.25">
      <c r="A246">
        <v>245</v>
      </c>
      <c r="B246">
        <v>39</v>
      </c>
      <c r="C246" t="s">
        <v>11</v>
      </c>
      <c r="D246" t="s">
        <v>17</v>
      </c>
      <c r="E246" t="s">
        <v>27</v>
      </c>
      <c r="F246">
        <v>103299</v>
      </c>
      <c r="G246">
        <v>12</v>
      </c>
      <c r="H246">
        <v>2</v>
      </c>
      <c r="I246" t="s">
        <v>15</v>
      </c>
      <c r="J246" t="s">
        <v>14</v>
      </c>
      <c r="K246" t="s">
        <v>28</v>
      </c>
    </row>
    <row r="247" spans="1:11" x14ac:dyDescent="0.25">
      <c r="A247">
        <v>246</v>
      </c>
      <c r="B247">
        <v>35</v>
      </c>
      <c r="C247" t="s">
        <v>11</v>
      </c>
      <c r="D247" t="s">
        <v>12</v>
      </c>
      <c r="E247" t="s">
        <v>13</v>
      </c>
      <c r="F247">
        <v>54739</v>
      </c>
      <c r="G247">
        <v>10</v>
      </c>
      <c r="H247">
        <v>4</v>
      </c>
      <c r="I247" t="s">
        <v>14</v>
      </c>
      <c r="J247" t="s">
        <v>14</v>
      </c>
      <c r="K247" t="s">
        <v>19</v>
      </c>
    </row>
    <row r="248" spans="1:11" x14ac:dyDescent="0.25">
      <c r="A248">
        <v>247</v>
      </c>
      <c r="B248">
        <v>60</v>
      </c>
      <c r="C248" t="s">
        <v>21</v>
      </c>
      <c r="D248" t="s">
        <v>28</v>
      </c>
      <c r="E248" t="s">
        <v>20</v>
      </c>
      <c r="F248">
        <v>66987</v>
      </c>
      <c r="G248">
        <v>6</v>
      </c>
      <c r="H248">
        <v>3</v>
      </c>
      <c r="I248" t="s">
        <v>15</v>
      </c>
      <c r="J248" t="s">
        <v>14</v>
      </c>
      <c r="K248" t="s">
        <v>17</v>
      </c>
    </row>
    <row r="249" spans="1:11" x14ac:dyDescent="0.25">
      <c r="A249">
        <v>248</v>
      </c>
      <c r="B249">
        <v>38</v>
      </c>
      <c r="C249" t="s">
        <v>21</v>
      </c>
      <c r="D249" t="s">
        <v>25</v>
      </c>
      <c r="E249" t="s">
        <v>18</v>
      </c>
      <c r="F249">
        <v>82215</v>
      </c>
      <c r="G249">
        <v>11</v>
      </c>
      <c r="H249">
        <v>3</v>
      </c>
      <c r="I249" t="s">
        <v>15</v>
      </c>
      <c r="J249" t="s">
        <v>15</v>
      </c>
      <c r="K249" t="s">
        <v>17</v>
      </c>
    </row>
    <row r="250" spans="1:11" x14ac:dyDescent="0.25">
      <c r="A250">
        <v>249</v>
      </c>
      <c r="B250">
        <v>48</v>
      </c>
      <c r="C250" t="s">
        <v>11</v>
      </c>
      <c r="D250" t="s">
        <v>25</v>
      </c>
      <c r="E250" t="s">
        <v>24</v>
      </c>
      <c r="F250">
        <v>88731</v>
      </c>
      <c r="G250">
        <v>1</v>
      </c>
      <c r="H250">
        <v>4</v>
      </c>
      <c r="I250" t="s">
        <v>15</v>
      </c>
      <c r="J250" t="s">
        <v>14</v>
      </c>
      <c r="K250" t="s">
        <v>17</v>
      </c>
    </row>
    <row r="251" spans="1:11" x14ac:dyDescent="0.25">
      <c r="A251">
        <v>250</v>
      </c>
      <c r="B251">
        <v>31</v>
      </c>
      <c r="C251" t="s">
        <v>11</v>
      </c>
      <c r="D251" t="s">
        <v>28</v>
      </c>
      <c r="E251" t="s">
        <v>24</v>
      </c>
      <c r="F251">
        <v>58236</v>
      </c>
      <c r="G251">
        <v>6</v>
      </c>
      <c r="H251">
        <v>3</v>
      </c>
      <c r="I251" t="s">
        <v>15</v>
      </c>
      <c r="J251" t="s">
        <v>14</v>
      </c>
      <c r="K251" t="s">
        <v>17</v>
      </c>
    </row>
    <row r="252" spans="1:11" x14ac:dyDescent="0.25">
      <c r="A252">
        <v>251</v>
      </c>
      <c r="B252">
        <v>53</v>
      </c>
      <c r="C252" t="s">
        <v>21</v>
      </c>
      <c r="D252" t="s">
        <v>16</v>
      </c>
      <c r="E252" t="s">
        <v>18</v>
      </c>
      <c r="F252">
        <v>111940</v>
      </c>
      <c r="G252">
        <v>20</v>
      </c>
      <c r="H252">
        <v>4</v>
      </c>
      <c r="I252" t="s">
        <v>15</v>
      </c>
      <c r="J252" t="s">
        <v>15</v>
      </c>
      <c r="K252" t="s">
        <v>19</v>
      </c>
    </row>
    <row r="253" spans="1:11" x14ac:dyDescent="0.25">
      <c r="A253">
        <v>252</v>
      </c>
      <c r="B253">
        <v>56</v>
      </c>
      <c r="C253" t="s">
        <v>11</v>
      </c>
      <c r="D253" t="s">
        <v>12</v>
      </c>
      <c r="E253" t="s">
        <v>13</v>
      </c>
      <c r="F253">
        <v>22698</v>
      </c>
      <c r="G253">
        <v>20</v>
      </c>
      <c r="H253">
        <v>1</v>
      </c>
      <c r="I253" t="s">
        <v>15</v>
      </c>
      <c r="J253" t="s">
        <v>14</v>
      </c>
      <c r="K253" t="s">
        <v>28</v>
      </c>
    </row>
    <row r="254" spans="1:11" x14ac:dyDescent="0.25">
      <c r="A254">
        <v>253</v>
      </c>
      <c r="B254">
        <v>30</v>
      </c>
      <c r="C254" t="s">
        <v>11</v>
      </c>
      <c r="D254" t="s">
        <v>16</v>
      </c>
      <c r="E254" t="s">
        <v>24</v>
      </c>
      <c r="F254">
        <v>45334</v>
      </c>
      <c r="G254">
        <v>20</v>
      </c>
      <c r="H254">
        <v>4</v>
      </c>
      <c r="I254" t="s">
        <v>15</v>
      </c>
      <c r="J254" t="s">
        <v>14</v>
      </c>
      <c r="K254" t="s">
        <v>17</v>
      </c>
    </row>
    <row r="255" spans="1:11" x14ac:dyDescent="0.25">
      <c r="A255">
        <v>254</v>
      </c>
      <c r="B255">
        <v>25</v>
      </c>
      <c r="C255" t="s">
        <v>11</v>
      </c>
      <c r="D255" t="s">
        <v>22</v>
      </c>
      <c r="E255" t="s">
        <v>24</v>
      </c>
      <c r="F255">
        <v>98588</v>
      </c>
      <c r="G255">
        <v>19</v>
      </c>
      <c r="H255">
        <v>4</v>
      </c>
      <c r="I255" t="s">
        <v>15</v>
      </c>
      <c r="J255" t="s">
        <v>15</v>
      </c>
      <c r="K255" t="s">
        <v>26</v>
      </c>
    </row>
    <row r="256" spans="1:11" x14ac:dyDescent="0.25">
      <c r="A256">
        <v>255</v>
      </c>
      <c r="B256">
        <v>23</v>
      </c>
      <c r="C256" t="s">
        <v>21</v>
      </c>
      <c r="D256" t="s">
        <v>22</v>
      </c>
      <c r="E256" t="s">
        <v>24</v>
      </c>
      <c r="F256">
        <v>109659</v>
      </c>
      <c r="G256">
        <v>16</v>
      </c>
      <c r="H256">
        <v>4</v>
      </c>
      <c r="I256" t="s">
        <v>15</v>
      </c>
      <c r="J256" t="s">
        <v>15</v>
      </c>
      <c r="K256" t="s">
        <v>19</v>
      </c>
    </row>
    <row r="257" spans="1:11" x14ac:dyDescent="0.25">
      <c r="A257">
        <v>256</v>
      </c>
      <c r="B257">
        <v>28</v>
      </c>
      <c r="C257" t="s">
        <v>21</v>
      </c>
      <c r="D257" t="s">
        <v>25</v>
      </c>
      <c r="E257" t="s">
        <v>23</v>
      </c>
      <c r="F257">
        <v>83732</v>
      </c>
      <c r="G257">
        <v>3</v>
      </c>
      <c r="H257">
        <v>4</v>
      </c>
      <c r="I257" t="s">
        <v>14</v>
      </c>
      <c r="J257" t="s">
        <v>14</v>
      </c>
      <c r="K257" t="s">
        <v>26</v>
      </c>
    </row>
    <row r="258" spans="1:11" x14ac:dyDescent="0.25">
      <c r="A258">
        <v>257</v>
      </c>
      <c r="B258">
        <v>45</v>
      </c>
      <c r="C258" t="s">
        <v>11</v>
      </c>
      <c r="D258" t="s">
        <v>25</v>
      </c>
      <c r="E258" t="s">
        <v>27</v>
      </c>
      <c r="F258">
        <v>75161</v>
      </c>
      <c r="G258">
        <v>12</v>
      </c>
      <c r="H258">
        <v>1</v>
      </c>
      <c r="I258" t="s">
        <v>15</v>
      </c>
      <c r="J258" t="s">
        <v>14</v>
      </c>
      <c r="K258" t="s">
        <v>26</v>
      </c>
    </row>
    <row r="259" spans="1:11" x14ac:dyDescent="0.25">
      <c r="A259">
        <v>258</v>
      </c>
      <c r="B259">
        <v>27</v>
      </c>
      <c r="C259" t="s">
        <v>11</v>
      </c>
      <c r="D259" t="s">
        <v>12</v>
      </c>
      <c r="E259" t="s">
        <v>13</v>
      </c>
      <c r="F259">
        <v>64710</v>
      </c>
      <c r="G259">
        <v>12</v>
      </c>
      <c r="H259">
        <v>2</v>
      </c>
      <c r="I259" t="s">
        <v>15</v>
      </c>
      <c r="J259" t="s">
        <v>15</v>
      </c>
      <c r="K259" t="s">
        <v>26</v>
      </c>
    </row>
    <row r="260" spans="1:11" x14ac:dyDescent="0.25">
      <c r="A260">
        <v>259</v>
      </c>
      <c r="B260">
        <v>53</v>
      </c>
      <c r="C260" t="s">
        <v>11</v>
      </c>
      <c r="D260" t="s">
        <v>17</v>
      </c>
      <c r="E260" t="s">
        <v>13</v>
      </c>
      <c r="F260">
        <v>99529</v>
      </c>
      <c r="G260">
        <v>13</v>
      </c>
      <c r="H260">
        <v>2</v>
      </c>
      <c r="I260" t="s">
        <v>15</v>
      </c>
      <c r="J260" t="s">
        <v>15</v>
      </c>
      <c r="K260" t="s">
        <v>19</v>
      </c>
    </row>
    <row r="261" spans="1:11" x14ac:dyDescent="0.25">
      <c r="A261">
        <v>260</v>
      </c>
      <c r="B261">
        <v>58</v>
      </c>
      <c r="C261" t="s">
        <v>21</v>
      </c>
      <c r="D261" t="s">
        <v>17</v>
      </c>
      <c r="E261" t="s">
        <v>24</v>
      </c>
      <c r="F261">
        <v>50532</v>
      </c>
      <c r="G261">
        <v>15</v>
      </c>
      <c r="H261">
        <v>1</v>
      </c>
      <c r="I261" t="s">
        <v>15</v>
      </c>
      <c r="J261" t="s">
        <v>14</v>
      </c>
      <c r="K261" t="s">
        <v>19</v>
      </c>
    </row>
    <row r="262" spans="1:11" x14ac:dyDescent="0.25">
      <c r="A262">
        <v>261</v>
      </c>
      <c r="B262">
        <v>42</v>
      </c>
      <c r="C262" t="s">
        <v>21</v>
      </c>
      <c r="D262" t="s">
        <v>22</v>
      </c>
      <c r="E262" t="s">
        <v>23</v>
      </c>
      <c r="F262">
        <v>42152</v>
      </c>
      <c r="G262">
        <v>0</v>
      </c>
      <c r="H262">
        <v>2</v>
      </c>
      <c r="I262" t="s">
        <v>15</v>
      </c>
      <c r="J262" t="s">
        <v>14</v>
      </c>
      <c r="K262" t="s">
        <v>16</v>
      </c>
    </row>
    <row r="263" spans="1:11" x14ac:dyDescent="0.25">
      <c r="A263">
        <v>262</v>
      </c>
      <c r="B263">
        <v>37</v>
      </c>
      <c r="C263" t="s">
        <v>11</v>
      </c>
      <c r="D263" t="s">
        <v>12</v>
      </c>
      <c r="E263" t="s">
        <v>27</v>
      </c>
      <c r="F263">
        <v>66007</v>
      </c>
      <c r="G263">
        <v>18</v>
      </c>
      <c r="H263">
        <v>1</v>
      </c>
      <c r="I263" t="s">
        <v>15</v>
      </c>
      <c r="J263" t="s">
        <v>15</v>
      </c>
      <c r="K263" t="s">
        <v>16</v>
      </c>
    </row>
    <row r="264" spans="1:11" x14ac:dyDescent="0.25">
      <c r="A264">
        <v>263</v>
      </c>
      <c r="B264">
        <v>44</v>
      </c>
      <c r="C264" t="s">
        <v>11</v>
      </c>
      <c r="D264" t="s">
        <v>25</v>
      </c>
      <c r="E264" t="s">
        <v>24</v>
      </c>
      <c r="F264">
        <v>27803</v>
      </c>
      <c r="G264">
        <v>1</v>
      </c>
      <c r="H264">
        <v>4</v>
      </c>
      <c r="I264" t="s">
        <v>14</v>
      </c>
      <c r="J264" t="s">
        <v>15</v>
      </c>
      <c r="K264" t="s">
        <v>17</v>
      </c>
    </row>
    <row r="265" spans="1:11" x14ac:dyDescent="0.25">
      <c r="A265">
        <v>264</v>
      </c>
      <c r="B265">
        <v>23</v>
      </c>
      <c r="C265" t="s">
        <v>21</v>
      </c>
      <c r="D265" t="s">
        <v>17</v>
      </c>
      <c r="E265" t="s">
        <v>20</v>
      </c>
      <c r="F265">
        <v>50825</v>
      </c>
      <c r="G265">
        <v>20</v>
      </c>
      <c r="H265">
        <v>4</v>
      </c>
      <c r="I265" t="s">
        <v>15</v>
      </c>
      <c r="J265" t="s">
        <v>15</v>
      </c>
      <c r="K265" t="s">
        <v>19</v>
      </c>
    </row>
    <row r="266" spans="1:11" x14ac:dyDescent="0.25">
      <c r="A266">
        <v>265</v>
      </c>
      <c r="B266">
        <v>59</v>
      </c>
      <c r="C266" t="s">
        <v>11</v>
      </c>
      <c r="D266" t="s">
        <v>22</v>
      </c>
      <c r="E266" t="s">
        <v>23</v>
      </c>
      <c r="F266">
        <v>26232</v>
      </c>
      <c r="G266">
        <v>12</v>
      </c>
      <c r="H266">
        <v>2</v>
      </c>
      <c r="I266" t="s">
        <v>15</v>
      </c>
      <c r="J266" t="s">
        <v>15</v>
      </c>
      <c r="K266" t="s">
        <v>28</v>
      </c>
    </row>
    <row r="267" spans="1:11" x14ac:dyDescent="0.25">
      <c r="A267">
        <v>266</v>
      </c>
      <c r="B267">
        <v>31</v>
      </c>
      <c r="C267" t="s">
        <v>11</v>
      </c>
      <c r="D267" t="s">
        <v>25</v>
      </c>
      <c r="E267" t="s">
        <v>20</v>
      </c>
      <c r="F267">
        <v>56507</v>
      </c>
      <c r="G267">
        <v>12</v>
      </c>
      <c r="H267">
        <v>3</v>
      </c>
      <c r="I267" t="s">
        <v>14</v>
      </c>
      <c r="J267" t="s">
        <v>15</v>
      </c>
      <c r="K267" t="s">
        <v>17</v>
      </c>
    </row>
    <row r="268" spans="1:11" x14ac:dyDescent="0.25">
      <c r="A268">
        <v>267</v>
      </c>
      <c r="B268">
        <v>28</v>
      </c>
      <c r="C268" t="s">
        <v>21</v>
      </c>
      <c r="D268" t="s">
        <v>22</v>
      </c>
      <c r="E268" t="s">
        <v>13</v>
      </c>
      <c r="F268">
        <v>26442</v>
      </c>
      <c r="G268">
        <v>4</v>
      </c>
      <c r="H268">
        <v>1</v>
      </c>
      <c r="I268" t="s">
        <v>15</v>
      </c>
      <c r="J268" t="s">
        <v>14</v>
      </c>
      <c r="K268" t="s">
        <v>17</v>
      </c>
    </row>
    <row r="269" spans="1:11" x14ac:dyDescent="0.25">
      <c r="A269">
        <v>268</v>
      </c>
      <c r="B269">
        <v>57</v>
      </c>
      <c r="C269" t="s">
        <v>11</v>
      </c>
      <c r="D269" t="s">
        <v>25</v>
      </c>
      <c r="E269" t="s">
        <v>20</v>
      </c>
      <c r="F269">
        <v>93240</v>
      </c>
      <c r="G269">
        <v>2</v>
      </c>
      <c r="H269">
        <v>4</v>
      </c>
      <c r="I269" t="s">
        <v>15</v>
      </c>
      <c r="J269" t="s">
        <v>15</v>
      </c>
      <c r="K269" t="s">
        <v>26</v>
      </c>
    </row>
    <row r="270" spans="1:11" x14ac:dyDescent="0.25">
      <c r="A270">
        <v>269</v>
      </c>
      <c r="B270">
        <v>57</v>
      </c>
      <c r="C270" t="s">
        <v>11</v>
      </c>
      <c r="D270" t="s">
        <v>16</v>
      </c>
      <c r="E270" t="s">
        <v>23</v>
      </c>
      <c r="F270">
        <v>89967</v>
      </c>
      <c r="G270">
        <v>7</v>
      </c>
      <c r="H270">
        <v>3</v>
      </c>
      <c r="I270" t="s">
        <v>15</v>
      </c>
      <c r="J270" t="s">
        <v>14</v>
      </c>
      <c r="K270" t="s">
        <v>17</v>
      </c>
    </row>
    <row r="271" spans="1:11" x14ac:dyDescent="0.25">
      <c r="A271">
        <v>270</v>
      </c>
      <c r="B271">
        <v>53</v>
      </c>
      <c r="C271" t="s">
        <v>21</v>
      </c>
      <c r="D271" t="s">
        <v>25</v>
      </c>
      <c r="E271" t="s">
        <v>20</v>
      </c>
      <c r="F271">
        <v>23292</v>
      </c>
      <c r="G271">
        <v>4</v>
      </c>
      <c r="H271">
        <v>1</v>
      </c>
      <c r="I271" t="s">
        <v>15</v>
      </c>
      <c r="J271" t="s">
        <v>14</v>
      </c>
      <c r="K271" t="s">
        <v>17</v>
      </c>
    </row>
    <row r="272" spans="1:11" x14ac:dyDescent="0.25">
      <c r="A272">
        <v>271</v>
      </c>
      <c r="B272">
        <v>38</v>
      </c>
      <c r="C272" t="s">
        <v>11</v>
      </c>
      <c r="D272" t="s">
        <v>28</v>
      </c>
      <c r="E272" t="s">
        <v>13</v>
      </c>
      <c r="F272">
        <v>109489</v>
      </c>
      <c r="G272">
        <v>7</v>
      </c>
      <c r="H272">
        <v>2</v>
      </c>
      <c r="I272" t="s">
        <v>15</v>
      </c>
      <c r="J272" t="s">
        <v>15</v>
      </c>
      <c r="K272" t="s">
        <v>17</v>
      </c>
    </row>
    <row r="273" spans="1:11" x14ac:dyDescent="0.25">
      <c r="A273">
        <v>272</v>
      </c>
      <c r="B273">
        <v>22</v>
      </c>
      <c r="C273" t="s">
        <v>21</v>
      </c>
      <c r="D273" t="s">
        <v>28</v>
      </c>
      <c r="E273" t="s">
        <v>23</v>
      </c>
      <c r="F273">
        <v>58544</v>
      </c>
      <c r="G273">
        <v>12</v>
      </c>
      <c r="H273">
        <v>4</v>
      </c>
      <c r="I273" t="s">
        <v>15</v>
      </c>
      <c r="J273" t="s">
        <v>15</v>
      </c>
      <c r="K273" t="s">
        <v>16</v>
      </c>
    </row>
    <row r="274" spans="1:11" x14ac:dyDescent="0.25">
      <c r="A274">
        <v>273</v>
      </c>
      <c r="B274">
        <v>30</v>
      </c>
      <c r="C274" t="s">
        <v>11</v>
      </c>
      <c r="D274" t="s">
        <v>28</v>
      </c>
      <c r="E274" t="s">
        <v>23</v>
      </c>
      <c r="F274">
        <v>57030</v>
      </c>
      <c r="G274">
        <v>9</v>
      </c>
      <c r="H274">
        <v>3</v>
      </c>
      <c r="I274" t="s">
        <v>15</v>
      </c>
      <c r="J274" t="s">
        <v>14</v>
      </c>
      <c r="K274" t="s">
        <v>28</v>
      </c>
    </row>
    <row r="275" spans="1:11" x14ac:dyDescent="0.25">
      <c r="A275">
        <v>274</v>
      </c>
      <c r="B275">
        <v>58</v>
      </c>
      <c r="C275" t="s">
        <v>21</v>
      </c>
      <c r="D275" t="s">
        <v>25</v>
      </c>
      <c r="E275" t="s">
        <v>13</v>
      </c>
      <c r="F275">
        <v>57714</v>
      </c>
      <c r="G275">
        <v>7</v>
      </c>
      <c r="H275">
        <v>2</v>
      </c>
      <c r="I275" t="s">
        <v>15</v>
      </c>
      <c r="J275" t="s">
        <v>15</v>
      </c>
      <c r="K275" t="s">
        <v>16</v>
      </c>
    </row>
    <row r="276" spans="1:11" x14ac:dyDescent="0.25">
      <c r="A276">
        <v>275</v>
      </c>
      <c r="B276">
        <v>56</v>
      </c>
      <c r="C276" t="s">
        <v>21</v>
      </c>
      <c r="D276" t="s">
        <v>12</v>
      </c>
      <c r="E276" t="s">
        <v>18</v>
      </c>
      <c r="F276">
        <v>104353</v>
      </c>
      <c r="G276">
        <v>5</v>
      </c>
      <c r="H276">
        <v>4</v>
      </c>
      <c r="I276" t="s">
        <v>15</v>
      </c>
      <c r="J276" t="s">
        <v>14</v>
      </c>
      <c r="K276" t="s">
        <v>17</v>
      </c>
    </row>
    <row r="277" spans="1:11" x14ac:dyDescent="0.25">
      <c r="A277">
        <v>276</v>
      </c>
      <c r="B277">
        <v>26</v>
      </c>
      <c r="C277" t="s">
        <v>21</v>
      </c>
      <c r="D277" t="s">
        <v>16</v>
      </c>
      <c r="E277" t="s">
        <v>23</v>
      </c>
      <c r="F277">
        <v>103208</v>
      </c>
      <c r="G277">
        <v>13</v>
      </c>
      <c r="H277">
        <v>2</v>
      </c>
      <c r="I277" t="s">
        <v>14</v>
      </c>
      <c r="J277" t="s">
        <v>15</v>
      </c>
      <c r="K277" t="s">
        <v>28</v>
      </c>
    </row>
    <row r="278" spans="1:11" x14ac:dyDescent="0.25">
      <c r="A278">
        <v>277</v>
      </c>
      <c r="B278">
        <v>46</v>
      </c>
      <c r="C278" t="s">
        <v>21</v>
      </c>
      <c r="D278" t="s">
        <v>17</v>
      </c>
      <c r="E278" t="s">
        <v>13</v>
      </c>
      <c r="F278">
        <v>73860</v>
      </c>
      <c r="G278">
        <v>2</v>
      </c>
      <c r="H278">
        <v>3</v>
      </c>
      <c r="I278" t="s">
        <v>15</v>
      </c>
      <c r="J278" t="s">
        <v>15</v>
      </c>
      <c r="K278" t="s">
        <v>16</v>
      </c>
    </row>
    <row r="279" spans="1:11" x14ac:dyDescent="0.25">
      <c r="A279">
        <v>278</v>
      </c>
      <c r="B279">
        <v>60</v>
      </c>
      <c r="C279" t="s">
        <v>21</v>
      </c>
      <c r="D279" t="s">
        <v>16</v>
      </c>
      <c r="E279" t="s">
        <v>27</v>
      </c>
      <c r="F279">
        <v>26138</v>
      </c>
      <c r="G279">
        <v>20</v>
      </c>
      <c r="H279">
        <v>1</v>
      </c>
      <c r="I279" t="s">
        <v>15</v>
      </c>
      <c r="J279" t="s">
        <v>14</v>
      </c>
      <c r="K279" t="s">
        <v>16</v>
      </c>
    </row>
    <row r="280" spans="1:11" x14ac:dyDescent="0.25">
      <c r="A280">
        <v>279</v>
      </c>
      <c r="B280">
        <v>47</v>
      </c>
      <c r="C280" t="s">
        <v>11</v>
      </c>
      <c r="D280" t="s">
        <v>25</v>
      </c>
      <c r="E280" t="s">
        <v>18</v>
      </c>
      <c r="F280">
        <v>119363</v>
      </c>
      <c r="G280">
        <v>10</v>
      </c>
      <c r="H280">
        <v>2</v>
      </c>
      <c r="I280" t="s">
        <v>14</v>
      </c>
      <c r="J280" t="s">
        <v>15</v>
      </c>
      <c r="K280" t="s">
        <v>28</v>
      </c>
    </row>
    <row r="281" spans="1:11" x14ac:dyDescent="0.25">
      <c r="A281">
        <v>280</v>
      </c>
      <c r="B281">
        <v>45</v>
      </c>
      <c r="C281" t="s">
        <v>11</v>
      </c>
      <c r="D281" t="s">
        <v>28</v>
      </c>
      <c r="E281" t="s">
        <v>13</v>
      </c>
      <c r="F281">
        <v>75694</v>
      </c>
      <c r="G281">
        <v>12</v>
      </c>
      <c r="H281">
        <v>3</v>
      </c>
      <c r="I281" t="s">
        <v>15</v>
      </c>
      <c r="J281" t="s">
        <v>14</v>
      </c>
      <c r="K281" t="s">
        <v>28</v>
      </c>
    </row>
    <row r="282" spans="1:11" x14ac:dyDescent="0.25">
      <c r="A282">
        <v>281</v>
      </c>
      <c r="B282">
        <v>27</v>
      </c>
      <c r="C282" t="s">
        <v>21</v>
      </c>
      <c r="D282" t="s">
        <v>28</v>
      </c>
      <c r="E282" t="s">
        <v>18</v>
      </c>
      <c r="F282">
        <v>110702</v>
      </c>
      <c r="G282">
        <v>3</v>
      </c>
      <c r="H282">
        <v>4</v>
      </c>
      <c r="I282" t="s">
        <v>15</v>
      </c>
      <c r="J282" t="s">
        <v>14</v>
      </c>
      <c r="K282" t="s">
        <v>17</v>
      </c>
    </row>
    <row r="283" spans="1:11" x14ac:dyDescent="0.25">
      <c r="A283">
        <v>282</v>
      </c>
      <c r="B283">
        <v>52</v>
      </c>
      <c r="C283" t="s">
        <v>21</v>
      </c>
      <c r="D283" t="s">
        <v>22</v>
      </c>
      <c r="E283" t="s">
        <v>27</v>
      </c>
      <c r="F283">
        <v>72431</v>
      </c>
      <c r="G283">
        <v>3</v>
      </c>
      <c r="H283">
        <v>1</v>
      </c>
      <c r="I283" t="s">
        <v>15</v>
      </c>
      <c r="J283" t="s">
        <v>15</v>
      </c>
      <c r="K283" t="s">
        <v>26</v>
      </c>
    </row>
    <row r="284" spans="1:11" x14ac:dyDescent="0.25">
      <c r="A284">
        <v>283</v>
      </c>
      <c r="B284">
        <v>43</v>
      </c>
      <c r="C284" t="s">
        <v>11</v>
      </c>
      <c r="D284" t="s">
        <v>17</v>
      </c>
      <c r="E284" t="s">
        <v>18</v>
      </c>
      <c r="F284">
        <v>29334</v>
      </c>
      <c r="G284">
        <v>20</v>
      </c>
      <c r="H284">
        <v>2</v>
      </c>
      <c r="I284" t="s">
        <v>15</v>
      </c>
      <c r="J284" t="s">
        <v>14</v>
      </c>
      <c r="K284" t="s">
        <v>17</v>
      </c>
    </row>
    <row r="285" spans="1:11" x14ac:dyDescent="0.25">
      <c r="A285">
        <v>284</v>
      </c>
      <c r="B285">
        <v>57</v>
      </c>
      <c r="C285" t="s">
        <v>11</v>
      </c>
      <c r="D285" t="s">
        <v>16</v>
      </c>
      <c r="E285" t="s">
        <v>27</v>
      </c>
      <c r="F285">
        <v>75562</v>
      </c>
      <c r="G285">
        <v>13</v>
      </c>
      <c r="H285">
        <v>4</v>
      </c>
      <c r="I285" t="s">
        <v>15</v>
      </c>
      <c r="J285" t="s">
        <v>14</v>
      </c>
      <c r="K285" t="s">
        <v>28</v>
      </c>
    </row>
    <row r="286" spans="1:11" x14ac:dyDescent="0.25">
      <c r="A286">
        <v>285</v>
      </c>
      <c r="B286">
        <v>23</v>
      </c>
      <c r="C286" t="s">
        <v>21</v>
      </c>
      <c r="D286" t="s">
        <v>22</v>
      </c>
      <c r="E286" t="s">
        <v>27</v>
      </c>
      <c r="F286">
        <v>40863</v>
      </c>
      <c r="G286">
        <v>19</v>
      </c>
      <c r="H286">
        <v>2</v>
      </c>
      <c r="I286" t="s">
        <v>15</v>
      </c>
      <c r="J286" t="s">
        <v>15</v>
      </c>
      <c r="K286" t="s">
        <v>19</v>
      </c>
    </row>
    <row r="287" spans="1:11" x14ac:dyDescent="0.25">
      <c r="A287">
        <v>286</v>
      </c>
      <c r="B287">
        <v>39</v>
      </c>
      <c r="C287" t="s">
        <v>11</v>
      </c>
      <c r="D287" t="s">
        <v>25</v>
      </c>
      <c r="E287" t="s">
        <v>23</v>
      </c>
      <c r="F287">
        <v>90674</v>
      </c>
      <c r="G287">
        <v>2</v>
      </c>
      <c r="H287">
        <v>2</v>
      </c>
      <c r="I287" t="s">
        <v>15</v>
      </c>
      <c r="J287" t="s">
        <v>14</v>
      </c>
      <c r="K287" t="s">
        <v>28</v>
      </c>
    </row>
    <row r="288" spans="1:11" x14ac:dyDescent="0.25">
      <c r="A288">
        <v>287</v>
      </c>
      <c r="B288">
        <v>29</v>
      </c>
      <c r="C288" t="s">
        <v>21</v>
      </c>
      <c r="D288" t="s">
        <v>17</v>
      </c>
      <c r="E288" t="s">
        <v>20</v>
      </c>
      <c r="F288">
        <v>102910</v>
      </c>
      <c r="G288">
        <v>8</v>
      </c>
      <c r="H288">
        <v>4</v>
      </c>
      <c r="I288" t="s">
        <v>15</v>
      </c>
      <c r="J288" t="s">
        <v>15</v>
      </c>
      <c r="K288" t="s">
        <v>16</v>
      </c>
    </row>
    <row r="289" spans="1:11" x14ac:dyDescent="0.25">
      <c r="A289">
        <v>288</v>
      </c>
      <c r="B289">
        <v>29</v>
      </c>
      <c r="C289" t="s">
        <v>21</v>
      </c>
      <c r="D289" t="s">
        <v>17</v>
      </c>
      <c r="E289" t="s">
        <v>24</v>
      </c>
      <c r="F289">
        <v>61135</v>
      </c>
      <c r="G289">
        <v>11</v>
      </c>
      <c r="H289">
        <v>1</v>
      </c>
      <c r="I289" t="s">
        <v>15</v>
      </c>
      <c r="J289" t="s">
        <v>15</v>
      </c>
      <c r="K289" t="s">
        <v>19</v>
      </c>
    </row>
    <row r="290" spans="1:11" x14ac:dyDescent="0.25">
      <c r="A290">
        <v>289</v>
      </c>
      <c r="B290">
        <v>42</v>
      </c>
      <c r="C290" t="s">
        <v>21</v>
      </c>
      <c r="D290" t="s">
        <v>12</v>
      </c>
      <c r="E290" t="s">
        <v>18</v>
      </c>
      <c r="F290">
        <v>46270</v>
      </c>
      <c r="G290">
        <v>3</v>
      </c>
      <c r="H290">
        <v>4</v>
      </c>
      <c r="I290" t="s">
        <v>14</v>
      </c>
      <c r="J290" t="s">
        <v>15</v>
      </c>
      <c r="K290" t="s">
        <v>28</v>
      </c>
    </row>
    <row r="291" spans="1:11" x14ac:dyDescent="0.25">
      <c r="A291">
        <v>290</v>
      </c>
      <c r="B291">
        <v>60</v>
      </c>
      <c r="C291" t="s">
        <v>21</v>
      </c>
      <c r="D291" t="s">
        <v>12</v>
      </c>
      <c r="E291" t="s">
        <v>24</v>
      </c>
      <c r="F291">
        <v>90340</v>
      </c>
      <c r="G291">
        <v>4</v>
      </c>
      <c r="H291">
        <v>2</v>
      </c>
      <c r="I291" t="s">
        <v>15</v>
      </c>
      <c r="J291" t="s">
        <v>15</v>
      </c>
      <c r="K291" t="s">
        <v>16</v>
      </c>
    </row>
    <row r="292" spans="1:11" x14ac:dyDescent="0.25">
      <c r="A292">
        <v>291</v>
      </c>
      <c r="B292">
        <v>32</v>
      </c>
      <c r="C292" t="s">
        <v>21</v>
      </c>
      <c r="D292" t="s">
        <v>17</v>
      </c>
      <c r="E292" t="s">
        <v>13</v>
      </c>
      <c r="F292">
        <v>52858</v>
      </c>
      <c r="G292">
        <v>15</v>
      </c>
      <c r="H292">
        <v>3</v>
      </c>
      <c r="I292" t="s">
        <v>14</v>
      </c>
      <c r="J292" t="s">
        <v>14</v>
      </c>
      <c r="K292" t="s">
        <v>26</v>
      </c>
    </row>
    <row r="293" spans="1:11" x14ac:dyDescent="0.25">
      <c r="A293">
        <v>292</v>
      </c>
      <c r="B293">
        <v>53</v>
      </c>
      <c r="C293" t="s">
        <v>21</v>
      </c>
      <c r="D293" t="s">
        <v>28</v>
      </c>
      <c r="E293" t="s">
        <v>27</v>
      </c>
      <c r="F293">
        <v>40575</v>
      </c>
      <c r="G293">
        <v>4</v>
      </c>
      <c r="H293">
        <v>4</v>
      </c>
      <c r="I293" t="s">
        <v>15</v>
      </c>
      <c r="J293" t="s">
        <v>15</v>
      </c>
      <c r="K293" t="s">
        <v>28</v>
      </c>
    </row>
    <row r="294" spans="1:11" x14ac:dyDescent="0.25">
      <c r="A294">
        <v>293</v>
      </c>
      <c r="B294">
        <v>50</v>
      </c>
      <c r="C294" t="s">
        <v>11</v>
      </c>
      <c r="D294" t="s">
        <v>25</v>
      </c>
      <c r="E294" t="s">
        <v>13</v>
      </c>
      <c r="F294">
        <v>36922</v>
      </c>
      <c r="G294">
        <v>15</v>
      </c>
      <c r="H294">
        <v>3</v>
      </c>
      <c r="I294" t="s">
        <v>15</v>
      </c>
      <c r="J294" t="s">
        <v>14</v>
      </c>
      <c r="K294" t="s">
        <v>19</v>
      </c>
    </row>
    <row r="295" spans="1:11" x14ac:dyDescent="0.25">
      <c r="A295">
        <v>294</v>
      </c>
      <c r="B295">
        <v>56</v>
      </c>
      <c r="C295" t="s">
        <v>21</v>
      </c>
      <c r="D295" t="s">
        <v>17</v>
      </c>
      <c r="E295" t="s">
        <v>24</v>
      </c>
      <c r="F295">
        <v>37047</v>
      </c>
      <c r="G295">
        <v>9</v>
      </c>
      <c r="H295">
        <v>1</v>
      </c>
      <c r="I295" t="s">
        <v>15</v>
      </c>
      <c r="J295" t="s">
        <v>15</v>
      </c>
      <c r="K295" t="s">
        <v>16</v>
      </c>
    </row>
    <row r="296" spans="1:11" x14ac:dyDescent="0.25">
      <c r="A296">
        <v>295</v>
      </c>
      <c r="B296">
        <v>29</v>
      </c>
      <c r="C296" t="s">
        <v>11</v>
      </c>
      <c r="D296" t="s">
        <v>12</v>
      </c>
      <c r="E296" t="s">
        <v>20</v>
      </c>
      <c r="F296">
        <v>116595</v>
      </c>
      <c r="G296">
        <v>8</v>
      </c>
      <c r="H296">
        <v>2</v>
      </c>
      <c r="I296" t="s">
        <v>15</v>
      </c>
      <c r="J296" t="s">
        <v>15</v>
      </c>
      <c r="K296" t="s">
        <v>28</v>
      </c>
    </row>
    <row r="297" spans="1:11" x14ac:dyDescent="0.25">
      <c r="A297">
        <v>296</v>
      </c>
      <c r="B297">
        <v>28</v>
      </c>
      <c r="C297" t="s">
        <v>11</v>
      </c>
      <c r="D297" t="s">
        <v>28</v>
      </c>
      <c r="E297" t="s">
        <v>23</v>
      </c>
      <c r="F297">
        <v>113480</v>
      </c>
      <c r="G297">
        <v>20</v>
      </c>
      <c r="H297">
        <v>3</v>
      </c>
      <c r="I297" t="s">
        <v>15</v>
      </c>
      <c r="J297" t="s">
        <v>14</v>
      </c>
      <c r="K297" t="s">
        <v>26</v>
      </c>
    </row>
    <row r="298" spans="1:11" x14ac:dyDescent="0.25">
      <c r="A298">
        <v>297</v>
      </c>
      <c r="B298">
        <v>50</v>
      </c>
      <c r="C298" t="s">
        <v>21</v>
      </c>
      <c r="D298" t="s">
        <v>12</v>
      </c>
      <c r="E298" t="s">
        <v>24</v>
      </c>
      <c r="F298">
        <v>116663</v>
      </c>
      <c r="G298">
        <v>3</v>
      </c>
      <c r="H298">
        <v>4</v>
      </c>
      <c r="I298" t="s">
        <v>14</v>
      </c>
      <c r="J298" t="s">
        <v>14</v>
      </c>
      <c r="K298" t="s">
        <v>19</v>
      </c>
    </row>
    <row r="299" spans="1:11" x14ac:dyDescent="0.25">
      <c r="A299">
        <v>298</v>
      </c>
      <c r="B299">
        <v>30</v>
      </c>
      <c r="C299" t="s">
        <v>21</v>
      </c>
      <c r="D299" t="s">
        <v>17</v>
      </c>
      <c r="E299" t="s">
        <v>24</v>
      </c>
      <c r="F299">
        <v>42124</v>
      </c>
      <c r="G299">
        <v>6</v>
      </c>
      <c r="H299">
        <v>2</v>
      </c>
      <c r="I299" t="s">
        <v>15</v>
      </c>
      <c r="J299" t="s">
        <v>14</v>
      </c>
      <c r="K299" t="s">
        <v>17</v>
      </c>
    </row>
    <row r="300" spans="1:11" x14ac:dyDescent="0.25">
      <c r="A300">
        <v>299</v>
      </c>
      <c r="B300">
        <v>40</v>
      </c>
      <c r="C300" t="s">
        <v>11</v>
      </c>
      <c r="D300" t="s">
        <v>16</v>
      </c>
      <c r="E300" t="s">
        <v>20</v>
      </c>
      <c r="F300">
        <v>90069</v>
      </c>
      <c r="G300">
        <v>9</v>
      </c>
      <c r="H300">
        <v>1</v>
      </c>
      <c r="I300" t="s">
        <v>15</v>
      </c>
      <c r="J300" t="s">
        <v>15</v>
      </c>
      <c r="K300" t="s">
        <v>17</v>
      </c>
    </row>
    <row r="301" spans="1:11" x14ac:dyDescent="0.25">
      <c r="A301">
        <v>300</v>
      </c>
      <c r="B301">
        <v>30</v>
      </c>
      <c r="C301" t="s">
        <v>11</v>
      </c>
      <c r="D301" t="s">
        <v>12</v>
      </c>
      <c r="E301" t="s">
        <v>20</v>
      </c>
      <c r="F301">
        <v>47725</v>
      </c>
      <c r="G301">
        <v>4</v>
      </c>
      <c r="H301">
        <v>4</v>
      </c>
      <c r="I301" t="s">
        <v>15</v>
      </c>
      <c r="J301" t="s">
        <v>14</v>
      </c>
      <c r="K301" t="s">
        <v>19</v>
      </c>
    </row>
    <row r="302" spans="1:11" x14ac:dyDescent="0.25">
      <c r="A302">
        <v>301</v>
      </c>
      <c r="B302">
        <v>58</v>
      </c>
      <c r="C302" t="s">
        <v>11</v>
      </c>
      <c r="D302" t="s">
        <v>12</v>
      </c>
      <c r="E302" t="s">
        <v>13</v>
      </c>
      <c r="F302">
        <v>50221</v>
      </c>
      <c r="G302">
        <v>20</v>
      </c>
      <c r="H302">
        <v>4</v>
      </c>
      <c r="I302" t="s">
        <v>15</v>
      </c>
      <c r="J302" t="s">
        <v>15</v>
      </c>
      <c r="K302" t="s">
        <v>16</v>
      </c>
    </row>
    <row r="303" spans="1:11" x14ac:dyDescent="0.25">
      <c r="A303">
        <v>302</v>
      </c>
      <c r="B303">
        <v>39</v>
      </c>
      <c r="C303" t="s">
        <v>11</v>
      </c>
      <c r="D303" t="s">
        <v>12</v>
      </c>
      <c r="E303" t="s">
        <v>13</v>
      </c>
      <c r="F303">
        <v>74597</v>
      </c>
      <c r="G303">
        <v>11</v>
      </c>
      <c r="H303">
        <v>4</v>
      </c>
      <c r="I303" t="s">
        <v>15</v>
      </c>
      <c r="J303" t="s">
        <v>15</v>
      </c>
      <c r="K303" t="s">
        <v>17</v>
      </c>
    </row>
    <row r="304" spans="1:11" x14ac:dyDescent="0.25">
      <c r="A304">
        <v>303</v>
      </c>
      <c r="B304">
        <v>26</v>
      </c>
      <c r="C304" t="s">
        <v>11</v>
      </c>
      <c r="D304" t="s">
        <v>28</v>
      </c>
      <c r="E304" t="s">
        <v>23</v>
      </c>
      <c r="F304">
        <v>67129</v>
      </c>
      <c r="G304">
        <v>17</v>
      </c>
      <c r="H304">
        <v>3</v>
      </c>
      <c r="I304" t="s">
        <v>15</v>
      </c>
      <c r="J304" t="s">
        <v>14</v>
      </c>
      <c r="K304" t="s">
        <v>17</v>
      </c>
    </row>
    <row r="305" spans="1:11" x14ac:dyDescent="0.25">
      <c r="A305">
        <v>304</v>
      </c>
      <c r="B305">
        <v>43</v>
      </c>
      <c r="C305" t="s">
        <v>21</v>
      </c>
      <c r="D305" t="s">
        <v>25</v>
      </c>
      <c r="E305" t="s">
        <v>27</v>
      </c>
      <c r="F305">
        <v>90750</v>
      </c>
      <c r="G305">
        <v>17</v>
      </c>
      <c r="H305">
        <v>1</v>
      </c>
      <c r="I305" t="s">
        <v>15</v>
      </c>
      <c r="J305" t="s">
        <v>14</v>
      </c>
      <c r="K305" t="s">
        <v>26</v>
      </c>
    </row>
    <row r="306" spans="1:11" x14ac:dyDescent="0.25">
      <c r="A306">
        <v>305</v>
      </c>
      <c r="B306">
        <v>28</v>
      </c>
      <c r="C306" t="s">
        <v>11</v>
      </c>
      <c r="D306" t="s">
        <v>28</v>
      </c>
      <c r="E306" t="s">
        <v>20</v>
      </c>
      <c r="F306">
        <v>117745</v>
      </c>
      <c r="G306">
        <v>20</v>
      </c>
      <c r="H306">
        <v>1</v>
      </c>
      <c r="I306" t="s">
        <v>14</v>
      </c>
      <c r="J306" t="s">
        <v>15</v>
      </c>
      <c r="K306" t="s">
        <v>28</v>
      </c>
    </row>
    <row r="307" spans="1:11" x14ac:dyDescent="0.25">
      <c r="A307">
        <v>306</v>
      </c>
      <c r="B307">
        <v>34</v>
      </c>
      <c r="C307" t="s">
        <v>21</v>
      </c>
      <c r="D307" t="s">
        <v>22</v>
      </c>
      <c r="E307" t="s">
        <v>27</v>
      </c>
      <c r="F307">
        <v>100196</v>
      </c>
      <c r="G307">
        <v>4</v>
      </c>
      <c r="H307">
        <v>3</v>
      </c>
      <c r="I307" t="s">
        <v>14</v>
      </c>
      <c r="J307" t="s">
        <v>15</v>
      </c>
      <c r="K307" t="s">
        <v>17</v>
      </c>
    </row>
    <row r="308" spans="1:11" x14ac:dyDescent="0.25">
      <c r="A308">
        <v>307</v>
      </c>
      <c r="B308">
        <v>27</v>
      </c>
      <c r="C308" t="s">
        <v>21</v>
      </c>
      <c r="D308" t="s">
        <v>12</v>
      </c>
      <c r="E308" t="s">
        <v>27</v>
      </c>
      <c r="F308">
        <v>102098</v>
      </c>
      <c r="G308">
        <v>11</v>
      </c>
      <c r="H308">
        <v>2</v>
      </c>
      <c r="I308" t="s">
        <v>14</v>
      </c>
      <c r="J308" t="s">
        <v>14</v>
      </c>
      <c r="K308" t="s">
        <v>28</v>
      </c>
    </row>
    <row r="309" spans="1:11" x14ac:dyDescent="0.25">
      <c r="A309">
        <v>308</v>
      </c>
      <c r="B309">
        <v>27</v>
      </c>
      <c r="C309" t="s">
        <v>11</v>
      </c>
      <c r="D309" t="s">
        <v>17</v>
      </c>
      <c r="E309" t="s">
        <v>18</v>
      </c>
      <c r="F309">
        <v>15142</v>
      </c>
      <c r="G309">
        <v>3</v>
      </c>
      <c r="H309">
        <v>4</v>
      </c>
      <c r="I309" t="s">
        <v>15</v>
      </c>
      <c r="J309" t="s">
        <v>14</v>
      </c>
      <c r="K309" t="s">
        <v>26</v>
      </c>
    </row>
    <row r="310" spans="1:11" x14ac:dyDescent="0.25">
      <c r="A310">
        <v>309</v>
      </c>
      <c r="B310">
        <v>22</v>
      </c>
      <c r="C310" t="s">
        <v>21</v>
      </c>
      <c r="D310" t="s">
        <v>22</v>
      </c>
      <c r="E310" t="s">
        <v>18</v>
      </c>
      <c r="F310">
        <v>30806</v>
      </c>
      <c r="G310">
        <v>10</v>
      </c>
      <c r="H310">
        <v>4</v>
      </c>
      <c r="I310" t="s">
        <v>15</v>
      </c>
      <c r="J310" t="s">
        <v>15</v>
      </c>
      <c r="K310" t="s">
        <v>26</v>
      </c>
    </row>
    <row r="311" spans="1:11" x14ac:dyDescent="0.25">
      <c r="A311">
        <v>310</v>
      </c>
      <c r="B311">
        <v>28</v>
      </c>
      <c r="C311" t="s">
        <v>11</v>
      </c>
      <c r="D311" t="s">
        <v>28</v>
      </c>
      <c r="E311" t="s">
        <v>18</v>
      </c>
      <c r="F311">
        <v>56071</v>
      </c>
      <c r="G311">
        <v>3</v>
      </c>
      <c r="H311">
        <v>2</v>
      </c>
      <c r="I311" t="s">
        <v>15</v>
      </c>
      <c r="J311" t="s">
        <v>15</v>
      </c>
      <c r="K311" t="s">
        <v>26</v>
      </c>
    </row>
    <row r="312" spans="1:11" x14ac:dyDescent="0.25">
      <c r="A312">
        <v>311</v>
      </c>
      <c r="B312">
        <v>55</v>
      </c>
      <c r="C312" t="s">
        <v>11</v>
      </c>
      <c r="D312" t="s">
        <v>12</v>
      </c>
      <c r="E312" t="s">
        <v>27</v>
      </c>
      <c r="F312">
        <v>16110</v>
      </c>
      <c r="G312">
        <v>18</v>
      </c>
      <c r="H312">
        <v>2</v>
      </c>
      <c r="I312" t="s">
        <v>15</v>
      </c>
      <c r="J312" t="s">
        <v>14</v>
      </c>
      <c r="K312" t="s">
        <v>28</v>
      </c>
    </row>
    <row r="313" spans="1:11" x14ac:dyDescent="0.25">
      <c r="A313">
        <v>312</v>
      </c>
      <c r="B313">
        <v>50</v>
      </c>
      <c r="C313" t="s">
        <v>11</v>
      </c>
      <c r="D313" t="s">
        <v>17</v>
      </c>
      <c r="E313" t="s">
        <v>27</v>
      </c>
      <c r="F313">
        <v>26362</v>
      </c>
      <c r="G313">
        <v>6</v>
      </c>
      <c r="H313">
        <v>4</v>
      </c>
      <c r="I313" t="s">
        <v>14</v>
      </c>
      <c r="J313" t="s">
        <v>14</v>
      </c>
      <c r="K313" t="s">
        <v>17</v>
      </c>
    </row>
    <row r="314" spans="1:11" x14ac:dyDescent="0.25">
      <c r="A314">
        <v>313</v>
      </c>
      <c r="B314">
        <v>49</v>
      </c>
      <c r="C314" t="s">
        <v>11</v>
      </c>
      <c r="D314" t="s">
        <v>16</v>
      </c>
      <c r="E314" t="s">
        <v>24</v>
      </c>
      <c r="F314">
        <v>118688</v>
      </c>
      <c r="G314">
        <v>10</v>
      </c>
      <c r="H314">
        <v>3</v>
      </c>
      <c r="I314" t="s">
        <v>14</v>
      </c>
      <c r="J314" t="s">
        <v>14</v>
      </c>
      <c r="K314" t="s">
        <v>26</v>
      </c>
    </row>
    <row r="315" spans="1:11" x14ac:dyDescent="0.25">
      <c r="A315">
        <v>314</v>
      </c>
      <c r="B315">
        <v>41</v>
      </c>
      <c r="C315" t="s">
        <v>21</v>
      </c>
      <c r="D315" t="s">
        <v>12</v>
      </c>
      <c r="E315" t="s">
        <v>13</v>
      </c>
      <c r="F315">
        <v>82862</v>
      </c>
      <c r="G315">
        <v>6</v>
      </c>
      <c r="H315">
        <v>2</v>
      </c>
      <c r="I315" t="s">
        <v>15</v>
      </c>
      <c r="J315" t="s">
        <v>14</v>
      </c>
      <c r="K315" t="s">
        <v>28</v>
      </c>
    </row>
    <row r="316" spans="1:11" x14ac:dyDescent="0.25">
      <c r="A316">
        <v>315</v>
      </c>
      <c r="B316">
        <v>46</v>
      </c>
      <c r="C316" t="s">
        <v>11</v>
      </c>
      <c r="D316" t="s">
        <v>17</v>
      </c>
      <c r="E316" t="s">
        <v>13</v>
      </c>
      <c r="F316">
        <v>46599</v>
      </c>
      <c r="G316">
        <v>3</v>
      </c>
      <c r="H316">
        <v>3</v>
      </c>
      <c r="I316" t="s">
        <v>15</v>
      </c>
      <c r="J316" t="s">
        <v>15</v>
      </c>
      <c r="K316" t="s">
        <v>17</v>
      </c>
    </row>
    <row r="317" spans="1:11" x14ac:dyDescent="0.25">
      <c r="A317">
        <v>316</v>
      </c>
      <c r="B317">
        <v>30</v>
      </c>
      <c r="C317" t="s">
        <v>11</v>
      </c>
      <c r="D317" t="s">
        <v>28</v>
      </c>
      <c r="E317" t="s">
        <v>13</v>
      </c>
      <c r="F317">
        <v>89498</v>
      </c>
      <c r="G317">
        <v>12</v>
      </c>
      <c r="H317">
        <v>1</v>
      </c>
      <c r="I317" t="s">
        <v>15</v>
      </c>
      <c r="J317" t="s">
        <v>15</v>
      </c>
      <c r="K317" t="s">
        <v>16</v>
      </c>
    </row>
    <row r="318" spans="1:11" x14ac:dyDescent="0.25">
      <c r="A318">
        <v>317</v>
      </c>
      <c r="B318">
        <v>26</v>
      </c>
      <c r="C318" t="s">
        <v>11</v>
      </c>
      <c r="D318" t="s">
        <v>28</v>
      </c>
      <c r="E318" t="s">
        <v>24</v>
      </c>
      <c r="F318">
        <v>49365</v>
      </c>
      <c r="G318">
        <v>0</v>
      </c>
      <c r="H318">
        <v>3</v>
      </c>
      <c r="I318" t="s">
        <v>14</v>
      </c>
      <c r="J318" t="s">
        <v>14</v>
      </c>
      <c r="K318" t="s">
        <v>16</v>
      </c>
    </row>
    <row r="319" spans="1:11" x14ac:dyDescent="0.25">
      <c r="A319">
        <v>318</v>
      </c>
      <c r="B319">
        <v>48</v>
      </c>
      <c r="C319" t="s">
        <v>11</v>
      </c>
      <c r="D319" t="s">
        <v>25</v>
      </c>
      <c r="E319" t="s">
        <v>13</v>
      </c>
      <c r="F319">
        <v>106987</v>
      </c>
      <c r="G319">
        <v>13</v>
      </c>
      <c r="H319">
        <v>3</v>
      </c>
      <c r="I319" t="s">
        <v>14</v>
      </c>
      <c r="J319" t="s">
        <v>15</v>
      </c>
      <c r="K319" t="s">
        <v>26</v>
      </c>
    </row>
    <row r="320" spans="1:11" x14ac:dyDescent="0.25">
      <c r="A320">
        <v>319</v>
      </c>
      <c r="B320">
        <v>54</v>
      </c>
      <c r="C320" t="s">
        <v>11</v>
      </c>
      <c r="D320" t="s">
        <v>25</v>
      </c>
      <c r="E320" t="s">
        <v>27</v>
      </c>
      <c r="F320">
        <v>35365</v>
      </c>
      <c r="G320">
        <v>6</v>
      </c>
      <c r="H320">
        <v>4</v>
      </c>
      <c r="I320" t="s">
        <v>15</v>
      </c>
      <c r="J320" t="s">
        <v>15</v>
      </c>
      <c r="K320" t="s">
        <v>19</v>
      </c>
    </row>
    <row r="321" spans="1:11" x14ac:dyDescent="0.25">
      <c r="A321">
        <v>320</v>
      </c>
      <c r="B321">
        <v>25</v>
      </c>
      <c r="C321" t="s">
        <v>11</v>
      </c>
      <c r="D321" t="s">
        <v>25</v>
      </c>
      <c r="E321" t="s">
        <v>27</v>
      </c>
      <c r="F321">
        <v>26300</v>
      </c>
      <c r="G321">
        <v>7</v>
      </c>
      <c r="H321">
        <v>2</v>
      </c>
      <c r="I321" t="s">
        <v>14</v>
      </c>
      <c r="J321" t="s">
        <v>15</v>
      </c>
      <c r="K321" t="s">
        <v>26</v>
      </c>
    </row>
    <row r="322" spans="1:11" x14ac:dyDescent="0.25">
      <c r="A322">
        <v>321</v>
      </c>
      <c r="B322">
        <v>22</v>
      </c>
      <c r="C322" t="s">
        <v>21</v>
      </c>
      <c r="D322" t="s">
        <v>17</v>
      </c>
      <c r="E322" t="s">
        <v>24</v>
      </c>
      <c r="F322">
        <v>106946</v>
      </c>
      <c r="G322">
        <v>4</v>
      </c>
      <c r="H322">
        <v>3</v>
      </c>
      <c r="I322" t="s">
        <v>14</v>
      </c>
      <c r="J322" t="s">
        <v>14</v>
      </c>
      <c r="K322" t="s">
        <v>19</v>
      </c>
    </row>
    <row r="323" spans="1:11" x14ac:dyDescent="0.25">
      <c r="A323">
        <v>322</v>
      </c>
      <c r="B323">
        <v>45</v>
      </c>
      <c r="C323" t="s">
        <v>11</v>
      </c>
      <c r="D323" t="s">
        <v>22</v>
      </c>
      <c r="E323" t="s">
        <v>23</v>
      </c>
      <c r="F323">
        <v>113274</v>
      </c>
      <c r="G323">
        <v>4</v>
      </c>
      <c r="H323">
        <v>4</v>
      </c>
      <c r="I323" t="s">
        <v>15</v>
      </c>
      <c r="J323" t="s">
        <v>15</v>
      </c>
      <c r="K323" t="s">
        <v>17</v>
      </c>
    </row>
    <row r="324" spans="1:11" x14ac:dyDescent="0.25">
      <c r="A324">
        <v>323</v>
      </c>
      <c r="B324">
        <v>55</v>
      </c>
      <c r="C324" t="s">
        <v>21</v>
      </c>
      <c r="D324" t="s">
        <v>22</v>
      </c>
      <c r="E324" t="s">
        <v>20</v>
      </c>
      <c r="F324">
        <v>49465</v>
      </c>
      <c r="G324">
        <v>2</v>
      </c>
      <c r="H324">
        <v>2</v>
      </c>
      <c r="I324" t="s">
        <v>14</v>
      </c>
      <c r="J324" t="s">
        <v>14</v>
      </c>
      <c r="K324" t="s">
        <v>17</v>
      </c>
    </row>
    <row r="325" spans="1:11" x14ac:dyDescent="0.25">
      <c r="A325">
        <v>324</v>
      </c>
      <c r="B325">
        <v>32</v>
      </c>
      <c r="C325" t="s">
        <v>11</v>
      </c>
      <c r="D325" t="s">
        <v>16</v>
      </c>
      <c r="E325" t="s">
        <v>27</v>
      </c>
      <c r="F325">
        <v>116361</v>
      </c>
      <c r="G325">
        <v>8</v>
      </c>
      <c r="H325">
        <v>1</v>
      </c>
      <c r="I325" t="s">
        <v>15</v>
      </c>
      <c r="J325" t="s">
        <v>14</v>
      </c>
      <c r="K325" t="s">
        <v>26</v>
      </c>
    </row>
    <row r="326" spans="1:11" x14ac:dyDescent="0.25">
      <c r="A326">
        <v>325</v>
      </c>
      <c r="B326">
        <v>22</v>
      </c>
      <c r="C326" t="s">
        <v>11</v>
      </c>
      <c r="D326" t="s">
        <v>16</v>
      </c>
      <c r="E326" t="s">
        <v>13</v>
      </c>
      <c r="F326">
        <v>21026</v>
      </c>
      <c r="G326">
        <v>7</v>
      </c>
      <c r="H326">
        <v>4</v>
      </c>
      <c r="I326" t="s">
        <v>15</v>
      </c>
      <c r="J326" t="s">
        <v>15</v>
      </c>
      <c r="K326" t="s">
        <v>19</v>
      </c>
    </row>
    <row r="327" spans="1:11" x14ac:dyDescent="0.25">
      <c r="A327">
        <v>326</v>
      </c>
      <c r="B327">
        <v>42</v>
      </c>
      <c r="C327" t="s">
        <v>11</v>
      </c>
      <c r="D327" t="s">
        <v>17</v>
      </c>
      <c r="E327" t="s">
        <v>23</v>
      </c>
      <c r="F327">
        <v>69559</v>
      </c>
      <c r="G327">
        <v>7</v>
      </c>
      <c r="H327">
        <v>1</v>
      </c>
      <c r="I327" t="s">
        <v>15</v>
      </c>
      <c r="J327" t="s">
        <v>15</v>
      </c>
      <c r="K327" t="s">
        <v>16</v>
      </c>
    </row>
    <row r="328" spans="1:11" x14ac:dyDescent="0.25">
      <c r="A328">
        <v>327</v>
      </c>
      <c r="B328">
        <v>25</v>
      </c>
      <c r="C328" t="s">
        <v>11</v>
      </c>
      <c r="D328" t="s">
        <v>28</v>
      </c>
      <c r="E328" t="s">
        <v>23</v>
      </c>
      <c r="F328">
        <v>44253</v>
      </c>
      <c r="G328">
        <v>5</v>
      </c>
      <c r="H328">
        <v>3</v>
      </c>
      <c r="I328" t="s">
        <v>15</v>
      </c>
      <c r="J328" t="s">
        <v>14</v>
      </c>
      <c r="K328" t="s">
        <v>17</v>
      </c>
    </row>
    <row r="329" spans="1:11" x14ac:dyDescent="0.25">
      <c r="A329">
        <v>328</v>
      </c>
      <c r="B329">
        <v>27</v>
      </c>
      <c r="C329" t="s">
        <v>21</v>
      </c>
      <c r="D329" t="s">
        <v>17</v>
      </c>
      <c r="E329" t="s">
        <v>23</v>
      </c>
      <c r="F329">
        <v>74866</v>
      </c>
      <c r="G329">
        <v>17</v>
      </c>
      <c r="H329">
        <v>2</v>
      </c>
      <c r="I329" t="s">
        <v>15</v>
      </c>
      <c r="J329" t="s">
        <v>14</v>
      </c>
      <c r="K329" t="s">
        <v>28</v>
      </c>
    </row>
    <row r="330" spans="1:11" x14ac:dyDescent="0.25">
      <c r="A330">
        <v>329</v>
      </c>
      <c r="B330">
        <v>45</v>
      </c>
      <c r="C330" t="s">
        <v>11</v>
      </c>
      <c r="D330" t="s">
        <v>16</v>
      </c>
      <c r="E330" t="s">
        <v>13</v>
      </c>
      <c r="F330">
        <v>79665</v>
      </c>
      <c r="G330">
        <v>18</v>
      </c>
      <c r="H330">
        <v>4</v>
      </c>
      <c r="I330" t="s">
        <v>15</v>
      </c>
      <c r="J330" t="s">
        <v>14</v>
      </c>
      <c r="K330" t="s">
        <v>26</v>
      </c>
    </row>
    <row r="331" spans="1:11" x14ac:dyDescent="0.25">
      <c r="A331">
        <v>330</v>
      </c>
      <c r="B331">
        <v>36</v>
      </c>
      <c r="C331" t="s">
        <v>11</v>
      </c>
      <c r="D331" t="s">
        <v>12</v>
      </c>
      <c r="E331" t="s">
        <v>20</v>
      </c>
      <c r="F331">
        <v>60406</v>
      </c>
      <c r="G331">
        <v>17</v>
      </c>
      <c r="H331">
        <v>3</v>
      </c>
      <c r="I331" t="s">
        <v>15</v>
      </c>
      <c r="J331" t="s">
        <v>14</v>
      </c>
      <c r="K331" t="s">
        <v>26</v>
      </c>
    </row>
    <row r="332" spans="1:11" x14ac:dyDescent="0.25">
      <c r="A332">
        <v>331</v>
      </c>
      <c r="B332">
        <v>35</v>
      </c>
      <c r="C332" t="s">
        <v>11</v>
      </c>
      <c r="D332" t="s">
        <v>16</v>
      </c>
      <c r="E332" t="s">
        <v>27</v>
      </c>
      <c r="F332">
        <v>46217</v>
      </c>
      <c r="G332">
        <v>16</v>
      </c>
      <c r="H332">
        <v>3</v>
      </c>
      <c r="I332" t="s">
        <v>15</v>
      </c>
      <c r="J332" t="s">
        <v>15</v>
      </c>
      <c r="K332" t="s">
        <v>26</v>
      </c>
    </row>
    <row r="333" spans="1:11" x14ac:dyDescent="0.25">
      <c r="A333">
        <v>332</v>
      </c>
      <c r="B333">
        <v>24</v>
      </c>
      <c r="C333" t="s">
        <v>21</v>
      </c>
      <c r="D333" t="s">
        <v>28</v>
      </c>
      <c r="E333" t="s">
        <v>27</v>
      </c>
      <c r="F333">
        <v>83125</v>
      </c>
      <c r="G333">
        <v>7</v>
      </c>
      <c r="H333">
        <v>1</v>
      </c>
      <c r="I333" t="s">
        <v>15</v>
      </c>
      <c r="J333" t="s">
        <v>15</v>
      </c>
      <c r="K333" t="s">
        <v>16</v>
      </c>
    </row>
    <row r="334" spans="1:11" x14ac:dyDescent="0.25">
      <c r="A334">
        <v>333</v>
      </c>
      <c r="B334">
        <v>28</v>
      </c>
      <c r="C334" t="s">
        <v>11</v>
      </c>
      <c r="D334" t="s">
        <v>28</v>
      </c>
      <c r="E334" t="s">
        <v>27</v>
      </c>
      <c r="F334">
        <v>32499</v>
      </c>
      <c r="G334">
        <v>16</v>
      </c>
      <c r="H334">
        <v>2</v>
      </c>
      <c r="I334" t="s">
        <v>14</v>
      </c>
      <c r="J334" t="s">
        <v>15</v>
      </c>
      <c r="K334" t="s">
        <v>19</v>
      </c>
    </row>
    <row r="335" spans="1:11" x14ac:dyDescent="0.25">
      <c r="A335">
        <v>334</v>
      </c>
      <c r="B335">
        <v>40</v>
      </c>
      <c r="C335" t="s">
        <v>21</v>
      </c>
      <c r="D335" t="s">
        <v>25</v>
      </c>
      <c r="E335" t="s">
        <v>20</v>
      </c>
      <c r="F335">
        <v>56288</v>
      </c>
      <c r="G335">
        <v>8</v>
      </c>
      <c r="H335">
        <v>3</v>
      </c>
      <c r="I335" t="s">
        <v>15</v>
      </c>
      <c r="J335" t="s">
        <v>15</v>
      </c>
      <c r="K335" t="s">
        <v>19</v>
      </c>
    </row>
    <row r="336" spans="1:11" x14ac:dyDescent="0.25">
      <c r="A336">
        <v>335</v>
      </c>
      <c r="B336">
        <v>26</v>
      </c>
      <c r="C336" t="s">
        <v>11</v>
      </c>
      <c r="D336" t="s">
        <v>28</v>
      </c>
      <c r="E336" t="s">
        <v>20</v>
      </c>
      <c r="F336">
        <v>32840</v>
      </c>
      <c r="G336">
        <v>6</v>
      </c>
      <c r="H336">
        <v>3</v>
      </c>
      <c r="I336" t="s">
        <v>14</v>
      </c>
      <c r="J336" t="s">
        <v>14</v>
      </c>
      <c r="K336" t="s">
        <v>28</v>
      </c>
    </row>
    <row r="337" spans="1:11" x14ac:dyDescent="0.25">
      <c r="A337">
        <v>336</v>
      </c>
      <c r="B337">
        <v>29</v>
      </c>
      <c r="C337" t="s">
        <v>21</v>
      </c>
      <c r="D337" t="s">
        <v>25</v>
      </c>
      <c r="E337" t="s">
        <v>13</v>
      </c>
      <c r="F337">
        <v>61961</v>
      </c>
      <c r="G337">
        <v>17</v>
      </c>
      <c r="H337">
        <v>1</v>
      </c>
      <c r="I337" t="s">
        <v>15</v>
      </c>
      <c r="J337" t="s">
        <v>14</v>
      </c>
      <c r="K337" t="s">
        <v>19</v>
      </c>
    </row>
    <row r="338" spans="1:11" x14ac:dyDescent="0.25">
      <c r="A338">
        <v>337</v>
      </c>
      <c r="B338">
        <v>41</v>
      </c>
      <c r="C338" t="s">
        <v>21</v>
      </c>
      <c r="D338" t="s">
        <v>16</v>
      </c>
      <c r="E338" t="s">
        <v>13</v>
      </c>
      <c r="F338">
        <v>20286</v>
      </c>
      <c r="G338">
        <v>19</v>
      </c>
      <c r="H338">
        <v>2</v>
      </c>
      <c r="I338" t="s">
        <v>15</v>
      </c>
      <c r="J338" t="s">
        <v>14</v>
      </c>
      <c r="K338" t="s">
        <v>17</v>
      </c>
    </row>
    <row r="339" spans="1:11" x14ac:dyDescent="0.25">
      <c r="A339">
        <v>338</v>
      </c>
      <c r="B339">
        <v>47</v>
      </c>
      <c r="C339" t="s">
        <v>11</v>
      </c>
      <c r="D339" t="s">
        <v>22</v>
      </c>
      <c r="E339" t="s">
        <v>20</v>
      </c>
      <c r="F339">
        <v>21416</v>
      </c>
      <c r="G339">
        <v>16</v>
      </c>
      <c r="H339">
        <v>4</v>
      </c>
      <c r="I339" t="s">
        <v>15</v>
      </c>
      <c r="J339" t="s">
        <v>15</v>
      </c>
      <c r="K339" t="s">
        <v>16</v>
      </c>
    </row>
    <row r="340" spans="1:11" x14ac:dyDescent="0.25">
      <c r="A340">
        <v>339</v>
      </c>
      <c r="B340">
        <v>57</v>
      </c>
      <c r="C340" t="s">
        <v>11</v>
      </c>
      <c r="D340" t="s">
        <v>22</v>
      </c>
      <c r="E340" t="s">
        <v>13</v>
      </c>
      <c r="F340">
        <v>27415</v>
      </c>
      <c r="G340">
        <v>7</v>
      </c>
      <c r="H340">
        <v>1</v>
      </c>
      <c r="I340" t="s">
        <v>14</v>
      </c>
      <c r="J340" t="s">
        <v>15</v>
      </c>
      <c r="K340" t="s">
        <v>19</v>
      </c>
    </row>
    <row r="341" spans="1:11" x14ac:dyDescent="0.25">
      <c r="A341">
        <v>340</v>
      </c>
      <c r="B341">
        <v>30</v>
      </c>
      <c r="C341" t="s">
        <v>11</v>
      </c>
      <c r="D341" t="s">
        <v>17</v>
      </c>
      <c r="E341" t="s">
        <v>24</v>
      </c>
      <c r="F341">
        <v>67505</v>
      </c>
      <c r="G341">
        <v>6</v>
      </c>
      <c r="H341">
        <v>3</v>
      </c>
      <c r="I341" t="s">
        <v>15</v>
      </c>
      <c r="J341" t="s">
        <v>15</v>
      </c>
      <c r="K341" t="s">
        <v>26</v>
      </c>
    </row>
    <row r="342" spans="1:11" x14ac:dyDescent="0.25">
      <c r="A342">
        <v>341</v>
      </c>
      <c r="B342">
        <v>23</v>
      </c>
      <c r="C342" t="s">
        <v>11</v>
      </c>
      <c r="D342" t="s">
        <v>25</v>
      </c>
      <c r="E342" t="s">
        <v>13</v>
      </c>
      <c r="F342">
        <v>40919</v>
      </c>
      <c r="G342">
        <v>2</v>
      </c>
      <c r="H342">
        <v>1</v>
      </c>
      <c r="I342" t="s">
        <v>15</v>
      </c>
      <c r="J342" t="s">
        <v>15</v>
      </c>
      <c r="K342" t="s">
        <v>28</v>
      </c>
    </row>
    <row r="343" spans="1:11" x14ac:dyDescent="0.25">
      <c r="A343">
        <v>342</v>
      </c>
      <c r="B343">
        <v>25</v>
      </c>
      <c r="C343" t="s">
        <v>21</v>
      </c>
      <c r="D343" t="s">
        <v>28</v>
      </c>
      <c r="E343" t="s">
        <v>13</v>
      </c>
      <c r="F343">
        <v>90220</v>
      </c>
      <c r="G343">
        <v>5</v>
      </c>
      <c r="H343">
        <v>4</v>
      </c>
      <c r="I343" t="s">
        <v>15</v>
      </c>
      <c r="J343" t="s">
        <v>15</v>
      </c>
      <c r="K343" t="s">
        <v>28</v>
      </c>
    </row>
    <row r="344" spans="1:11" x14ac:dyDescent="0.25">
      <c r="A344">
        <v>343</v>
      </c>
      <c r="B344">
        <v>33</v>
      </c>
      <c r="C344" t="s">
        <v>21</v>
      </c>
      <c r="D344" t="s">
        <v>16</v>
      </c>
      <c r="E344" t="s">
        <v>13</v>
      </c>
      <c r="F344">
        <v>43143</v>
      </c>
      <c r="G344">
        <v>11</v>
      </c>
      <c r="H344">
        <v>2</v>
      </c>
      <c r="I344" t="s">
        <v>15</v>
      </c>
      <c r="J344" t="s">
        <v>14</v>
      </c>
      <c r="K344" t="s">
        <v>17</v>
      </c>
    </row>
    <row r="345" spans="1:11" x14ac:dyDescent="0.25">
      <c r="A345">
        <v>344</v>
      </c>
      <c r="B345">
        <v>53</v>
      </c>
      <c r="C345" t="s">
        <v>21</v>
      </c>
      <c r="D345" t="s">
        <v>28</v>
      </c>
      <c r="E345" t="s">
        <v>18</v>
      </c>
      <c r="F345">
        <v>87179</v>
      </c>
      <c r="G345">
        <v>13</v>
      </c>
      <c r="H345">
        <v>4</v>
      </c>
      <c r="I345" t="s">
        <v>14</v>
      </c>
      <c r="J345" t="s">
        <v>15</v>
      </c>
      <c r="K345" t="s">
        <v>19</v>
      </c>
    </row>
    <row r="346" spans="1:11" x14ac:dyDescent="0.25">
      <c r="A346">
        <v>345</v>
      </c>
      <c r="B346">
        <v>55</v>
      </c>
      <c r="C346" t="s">
        <v>21</v>
      </c>
      <c r="D346" t="s">
        <v>28</v>
      </c>
      <c r="E346" t="s">
        <v>24</v>
      </c>
      <c r="F346">
        <v>97674</v>
      </c>
      <c r="G346">
        <v>7</v>
      </c>
      <c r="H346">
        <v>4</v>
      </c>
      <c r="I346" t="s">
        <v>15</v>
      </c>
      <c r="J346" t="s">
        <v>14</v>
      </c>
      <c r="K346" t="s">
        <v>17</v>
      </c>
    </row>
    <row r="347" spans="1:11" x14ac:dyDescent="0.25">
      <c r="A347">
        <v>346</v>
      </c>
      <c r="B347">
        <v>58</v>
      </c>
      <c r="C347" t="s">
        <v>11</v>
      </c>
      <c r="D347" t="s">
        <v>25</v>
      </c>
      <c r="E347" t="s">
        <v>24</v>
      </c>
      <c r="F347">
        <v>57153</v>
      </c>
      <c r="G347">
        <v>16</v>
      </c>
      <c r="H347">
        <v>2</v>
      </c>
      <c r="I347" t="s">
        <v>15</v>
      </c>
      <c r="J347" t="s">
        <v>15</v>
      </c>
      <c r="K347" t="s">
        <v>26</v>
      </c>
    </row>
    <row r="348" spans="1:11" x14ac:dyDescent="0.25">
      <c r="A348">
        <v>347</v>
      </c>
      <c r="B348">
        <v>39</v>
      </c>
      <c r="C348" t="s">
        <v>11</v>
      </c>
      <c r="D348" t="s">
        <v>16</v>
      </c>
      <c r="E348" t="s">
        <v>13</v>
      </c>
      <c r="F348">
        <v>76824</v>
      </c>
      <c r="G348">
        <v>1</v>
      </c>
      <c r="H348">
        <v>2</v>
      </c>
      <c r="I348" t="s">
        <v>15</v>
      </c>
      <c r="J348" t="s">
        <v>15</v>
      </c>
      <c r="K348" t="s">
        <v>19</v>
      </c>
    </row>
    <row r="349" spans="1:11" x14ac:dyDescent="0.25">
      <c r="A349">
        <v>348</v>
      </c>
      <c r="B349">
        <v>39</v>
      </c>
      <c r="C349" t="s">
        <v>11</v>
      </c>
      <c r="D349" t="s">
        <v>17</v>
      </c>
      <c r="E349" t="s">
        <v>20</v>
      </c>
      <c r="F349">
        <v>118709</v>
      </c>
      <c r="G349">
        <v>17</v>
      </c>
      <c r="H349">
        <v>3</v>
      </c>
      <c r="I349" t="s">
        <v>15</v>
      </c>
      <c r="J349" t="s">
        <v>14</v>
      </c>
      <c r="K349" t="s">
        <v>19</v>
      </c>
    </row>
    <row r="350" spans="1:11" x14ac:dyDescent="0.25">
      <c r="A350">
        <v>349</v>
      </c>
      <c r="B350">
        <v>33</v>
      </c>
      <c r="C350" t="s">
        <v>21</v>
      </c>
      <c r="D350" t="s">
        <v>17</v>
      </c>
      <c r="E350" t="s">
        <v>13</v>
      </c>
      <c r="F350">
        <v>92662</v>
      </c>
      <c r="G350">
        <v>7</v>
      </c>
      <c r="H350">
        <v>3</v>
      </c>
      <c r="I350" t="s">
        <v>15</v>
      </c>
      <c r="J350" t="s">
        <v>15</v>
      </c>
      <c r="K350" t="s">
        <v>16</v>
      </c>
    </row>
    <row r="351" spans="1:11" x14ac:dyDescent="0.25">
      <c r="A351">
        <v>350</v>
      </c>
      <c r="B351">
        <v>58</v>
      </c>
      <c r="C351" t="s">
        <v>21</v>
      </c>
      <c r="D351" t="s">
        <v>17</v>
      </c>
      <c r="E351" t="s">
        <v>23</v>
      </c>
      <c r="F351">
        <v>88807</v>
      </c>
      <c r="G351">
        <v>4</v>
      </c>
      <c r="H351">
        <v>2</v>
      </c>
      <c r="I351" t="s">
        <v>15</v>
      </c>
      <c r="J351" t="s">
        <v>14</v>
      </c>
      <c r="K351" t="s">
        <v>28</v>
      </c>
    </row>
    <row r="352" spans="1:11" x14ac:dyDescent="0.25">
      <c r="A352">
        <v>351</v>
      </c>
      <c r="B352">
        <v>24</v>
      </c>
      <c r="C352" t="s">
        <v>11</v>
      </c>
      <c r="D352" t="s">
        <v>17</v>
      </c>
      <c r="E352" t="s">
        <v>20</v>
      </c>
      <c r="F352">
        <v>22362</v>
      </c>
      <c r="G352">
        <v>2</v>
      </c>
      <c r="H352">
        <v>1</v>
      </c>
      <c r="I352" t="s">
        <v>15</v>
      </c>
      <c r="J352" t="s">
        <v>14</v>
      </c>
      <c r="K352" t="s">
        <v>17</v>
      </c>
    </row>
    <row r="353" spans="1:11" x14ac:dyDescent="0.25">
      <c r="A353">
        <v>352</v>
      </c>
      <c r="B353">
        <v>34</v>
      </c>
      <c r="C353" t="s">
        <v>21</v>
      </c>
      <c r="D353" t="s">
        <v>22</v>
      </c>
      <c r="E353" t="s">
        <v>13</v>
      </c>
      <c r="F353">
        <v>59663</v>
      </c>
      <c r="G353">
        <v>4</v>
      </c>
      <c r="H353">
        <v>2</v>
      </c>
      <c r="I353" t="s">
        <v>15</v>
      </c>
      <c r="J353" t="s">
        <v>14</v>
      </c>
      <c r="K353" t="s">
        <v>16</v>
      </c>
    </row>
    <row r="354" spans="1:11" x14ac:dyDescent="0.25">
      <c r="A354">
        <v>353</v>
      </c>
      <c r="B354">
        <v>31</v>
      </c>
      <c r="C354" t="s">
        <v>21</v>
      </c>
      <c r="D354" t="s">
        <v>12</v>
      </c>
      <c r="E354" t="s">
        <v>27</v>
      </c>
      <c r="F354">
        <v>83982</v>
      </c>
      <c r="G354">
        <v>3</v>
      </c>
      <c r="H354">
        <v>4</v>
      </c>
      <c r="I354" t="s">
        <v>15</v>
      </c>
      <c r="J354" t="s">
        <v>15</v>
      </c>
      <c r="K354" t="s">
        <v>16</v>
      </c>
    </row>
    <row r="355" spans="1:11" x14ac:dyDescent="0.25">
      <c r="A355">
        <v>354</v>
      </c>
      <c r="B355">
        <v>28</v>
      </c>
      <c r="C355" t="s">
        <v>11</v>
      </c>
      <c r="D355" t="s">
        <v>12</v>
      </c>
      <c r="E355" t="s">
        <v>20</v>
      </c>
      <c r="F355">
        <v>54552</v>
      </c>
      <c r="G355">
        <v>10</v>
      </c>
      <c r="H355">
        <v>4</v>
      </c>
      <c r="I355" t="s">
        <v>14</v>
      </c>
      <c r="J355" t="s">
        <v>15</v>
      </c>
      <c r="K355" t="s">
        <v>17</v>
      </c>
    </row>
    <row r="356" spans="1:11" x14ac:dyDescent="0.25">
      <c r="A356">
        <v>355</v>
      </c>
      <c r="B356">
        <v>33</v>
      </c>
      <c r="C356" t="s">
        <v>11</v>
      </c>
      <c r="D356" t="s">
        <v>28</v>
      </c>
      <c r="E356" t="s">
        <v>23</v>
      </c>
      <c r="F356">
        <v>105906</v>
      </c>
      <c r="G356">
        <v>17</v>
      </c>
      <c r="H356">
        <v>3</v>
      </c>
      <c r="I356" t="s">
        <v>14</v>
      </c>
      <c r="J356" t="s">
        <v>15</v>
      </c>
      <c r="K356" t="s">
        <v>19</v>
      </c>
    </row>
    <row r="357" spans="1:11" x14ac:dyDescent="0.25">
      <c r="A357">
        <v>356</v>
      </c>
      <c r="B357">
        <v>33</v>
      </c>
      <c r="C357" t="s">
        <v>11</v>
      </c>
      <c r="D357" t="s">
        <v>16</v>
      </c>
      <c r="E357" t="s">
        <v>24</v>
      </c>
      <c r="F357">
        <v>107013</v>
      </c>
      <c r="G357">
        <v>0</v>
      </c>
      <c r="H357">
        <v>3</v>
      </c>
      <c r="I357" t="s">
        <v>15</v>
      </c>
      <c r="J357" t="s">
        <v>15</v>
      </c>
      <c r="K357" t="s">
        <v>16</v>
      </c>
    </row>
    <row r="358" spans="1:11" x14ac:dyDescent="0.25">
      <c r="A358">
        <v>357</v>
      </c>
      <c r="B358">
        <v>36</v>
      </c>
      <c r="C358" t="s">
        <v>11</v>
      </c>
      <c r="D358" t="s">
        <v>25</v>
      </c>
      <c r="E358" t="s">
        <v>27</v>
      </c>
      <c r="F358">
        <v>89127</v>
      </c>
      <c r="G358">
        <v>20</v>
      </c>
      <c r="H358">
        <v>1</v>
      </c>
      <c r="I358" t="s">
        <v>15</v>
      </c>
      <c r="J358" t="s">
        <v>14</v>
      </c>
      <c r="K358" t="s">
        <v>19</v>
      </c>
    </row>
    <row r="359" spans="1:11" x14ac:dyDescent="0.25">
      <c r="A359">
        <v>358</v>
      </c>
      <c r="B359">
        <v>44</v>
      </c>
      <c r="C359" t="s">
        <v>21</v>
      </c>
      <c r="D359" t="s">
        <v>28</v>
      </c>
      <c r="E359" t="s">
        <v>13</v>
      </c>
      <c r="F359">
        <v>37005</v>
      </c>
      <c r="G359">
        <v>10</v>
      </c>
      <c r="H359">
        <v>3</v>
      </c>
      <c r="I359" t="s">
        <v>15</v>
      </c>
      <c r="J359" t="s">
        <v>14</v>
      </c>
      <c r="K359" t="s">
        <v>19</v>
      </c>
    </row>
    <row r="360" spans="1:11" x14ac:dyDescent="0.25">
      <c r="A360">
        <v>359</v>
      </c>
      <c r="B360">
        <v>37</v>
      </c>
      <c r="C360" t="s">
        <v>11</v>
      </c>
      <c r="D360" t="s">
        <v>22</v>
      </c>
      <c r="E360" t="s">
        <v>20</v>
      </c>
      <c r="F360">
        <v>60938</v>
      </c>
      <c r="G360">
        <v>2</v>
      </c>
      <c r="H360">
        <v>4</v>
      </c>
      <c r="I360" t="s">
        <v>15</v>
      </c>
      <c r="J360" t="s">
        <v>15</v>
      </c>
      <c r="K360" t="s">
        <v>28</v>
      </c>
    </row>
    <row r="361" spans="1:11" x14ac:dyDescent="0.25">
      <c r="A361">
        <v>360</v>
      </c>
      <c r="B361">
        <v>32</v>
      </c>
      <c r="C361" t="s">
        <v>21</v>
      </c>
      <c r="D361" t="s">
        <v>22</v>
      </c>
      <c r="E361" t="s">
        <v>20</v>
      </c>
      <c r="F361">
        <v>79629</v>
      </c>
      <c r="G361">
        <v>13</v>
      </c>
      <c r="H361">
        <v>2</v>
      </c>
      <c r="I361" t="s">
        <v>15</v>
      </c>
      <c r="J361" t="s">
        <v>15</v>
      </c>
      <c r="K361" t="s">
        <v>19</v>
      </c>
    </row>
    <row r="362" spans="1:11" x14ac:dyDescent="0.25">
      <c r="A362">
        <v>361</v>
      </c>
      <c r="B362">
        <v>50</v>
      </c>
      <c r="C362" t="s">
        <v>21</v>
      </c>
      <c r="D362" t="s">
        <v>25</v>
      </c>
      <c r="E362" t="s">
        <v>13</v>
      </c>
      <c r="F362">
        <v>119752</v>
      </c>
      <c r="G362">
        <v>2</v>
      </c>
      <c r="H362">
        <v>1</v>
      </c>
      <c r="I362" t="s">
        <v>14</v>
      </c>
      <c r="J362" t="s">
        <v>14</v>
      </c>
      <c r="K362" t="s">
        <v>17</v>
      </c>
    </row>
    <row r="363" spans="1:11" x14ac:dyDescent="0.25">
      <c r="A363">
        <v>362</v>
      </c>
      <c r="B363">
        <v>32</v>
      </c>
      <c r="C363" t="s">
        <v>11</v>
      </c>
      <c r="D363" t="s">
        <v>25</v>
      </c>
      <c r="E363" t="s">
        <v>24</v>
      </c>
      <c r="F363">
        <v>36090</v>
      </c>
      <c r="G363">
        <v>12</v>
      </c>
      <c r="H363">
        <v>4</v>
      </c>
      <c r="I363" t="s">
        <v>15</v>
      </c>
      <c r="J363" t="s">
        <v>14</v>
      </c>
      <c r="K363" t="s">
        <v>26</v>
      </c>
    </row>
    <row r="364" spans="1:11" x14ac:dyDescent="0.25">
      <c r="A364">
        <v>363</v>
      </c>
      <c r="B364">
        <v>49</v>
      </c>
      <c r="C364" t="s">
        <v>11</v>
      </c>
      <c r="D364" t="s">
        <v>25</v>
      </c>
      <c r="E364" t="s">
        <v>18</v>
      </c>
      <c r="F364">
        <v>36626</v>
      </c>
      <c r="G364">
        <v>20</v>
      </c>
      <c r="H364">
        <v>2</v>
      </c>
      <c r="I364" t="s">
        <v>14</v>
      </c>
      <c r="J364" t="s">
        <v>15</v>
      </c>
      <c r="K364" t="s">
        <v>28</v>
      </c>
    </row>
    <row r="365" spans="1:11" x14ac:dyDescent="0.25">
      <c r="A365">
        <v>364</v>
      </c>
      <c r="B365">
        <v>57</v>
      </c>
      <c r="C365" t="s">
        <v>11</v>
      </c>
      <c r="D365" t="s">
        <v>22</v>
      </c>
      <c r="E365" t="s">
        <v>20</v>
      </c>
      <c r="F365">
        <v>49768</v>
      </c>
      <c r="G365">
        <v>17</v>
      </c>
      <c r="H365">
        <v>4</v>
      </c>
      <c r="I365" t="s">
        <v>15</v>
      </c>
      <c r="J365" t="s">
        <v>15</v>
      </c>
      <c r="K365" t="s">
        <v>19</v>
      </c>
    </row>
    <row r="366" spans="1:11" x14ac:dyDescent="0.25">
      <c r="A366">
        <v>365</v>
      </c>
      <c r="B366">
        <v>25</v>
      </c>
      <c r="C366" t="s">
        <v>21</v>
      </c>
      <c r="D366" t="s">
        <v>16</v>
      </c>
      <c r="E366" t="s">
        <v>13</v>
      </c>
      <c r="F366">
        <v>15500</v>
      </c>
      <c r="G366">
        <v>11</v>
      </c>
      <c r="H366">
        <v>1</v>
      </c>
      <c r="I366" t="s">
        <v>14</v>
      </c>
      <c r="J366" t="s">
        <v>15</v>
      </c>
      <c r="K366" t="s">
        <v>19</v>
      </c>
    </row>
    <row r="367" spans="1:11" x14ac:dyDescent="0.25">
      <c r="A367">
        <v>366</v>
      </c>
      <c r="B367">
        <v>32</v>
      </c>
      <c r="C367" t="s">
        <v>11</v>
      </c>
      <c r="D367" t="s">
        <v>25</v>
      </c>
      <c r="E367" t="s">
        <v>20</v>
      </c>
      <c r="F367">
        <v>53248</v>
      </c>
      <c r="G367">
        <v>20</v>
      </c>
      <c r="H367">
        <v>4</v>
      </c>
      <c r="I367" t="s">
        <v>15</v>
      </c>
      <c r="J367" t="s">
        <v>14</v>
      </c>
      <c r="K367" t="s">
        <v>28</v>
      </c>
    </row>
    <row r="368" spans="1:11" x14ac:dyDescent="0.25">
      <c r="A368">
        <v>367</v>
      </c>
      <c r="B368">
        <v>38</v>
      </c>
      <c r="C368" t="s">
        <v>21</v>
      </c>
      <c r="D368" t="s">
        <v>25</v>
      </c>
      <c r="E368" t="s">
        <v>18</v>
      </c>
      <c r="F368">
        <v>99130</v>
      </c>
      <c r="G368">
        <v>2</v>
      </c>
      <c r="H368">
        <v>4</v>
      </c>
      <c r="I368" t="s">
        <v>14</v>
      </c>
      <c r="J368" t="s">
        <v>15</v>
      </c>
      <c r="K368" t="s">
        <v>26</v>
      </c>
    </row>
    <row r="369" spans="1:11" x14ac:dyDescent="0.25">
      <c r="A369">
        <v>368</v>
      </c>
      <c r="B369">
        <v>38</v>
      </c>
      <c r="C369" t="s">
        <v>21</v>
      </c>
      <c r="D369" t="s">
        <v>17</v>
      </c>
      <c r="E369" t="s">
        <v>13</v>
      </c>
      <c r="F369">
        <v>75956</v>
      </c>
      <c r="G369">
        <v>14</v>
      </c>
      <c r="H369">
        <v>2</v>
      </c>
      <c r="I369" t="s">
        <v>14</v>
      </c>
      <c r="J369" t="s">
        <v>15</v>
      </c>
      <c r="K369" t="s">
        <v>26</v>
      </c>
    </row>
    <row r="370" spans="1:11" x14ac:dyDescent="0.25">
      <c r="A370">
        <v>369</v>
      </c>
      <c r="B370">
        <v>27</v>
      </c>
      <c r="C370" t="s">
        <v>11</v>
      </c>
      <c r="D370" t="s">
        <v>17</v>
      </c>
      <c r="E370" t="s">
        <v>13</v>
      </c>
      <c r="F370">
        <v>85968</v>
      </c>
      <c r="G370">
        <v>11</v>
      </c>
      <c r="H370">
        <v>4</v>
      </c>
      <c r="I370" t="s">
        <v>15</v>
      </c>
      <c r="J370" t="s">
        <v>15</v>
      </c>
      <c r="K370" t="s">
        <v>16</v>
      </c>
    </row>
    <row r="371" spans="1:11" x14ac:dyDescent="0.25">
      <c r="A371">
        <v>370</v>
      </c>
      <c r="B371">
        <v>48</v>
      </c>
      <c r="C371" t="s">
        <v>11</v>
      </c>
      <c r="D371" t="s">
        <v>28</v>
      </c>
      <c r="E371" t="s">
        <v>23</v>
      </c>
      <c r="F371">
        <v>105055</v>
      </c>
      <c r="G371">
        <v>17</v>
      </c>
      <c r="H371">
        <v>1</v>
      </c>
      <c r="I371" t="s">
        <v>15</v>
      </c>
      <c r="J371" t="s">
        <v>15</v>
      </c>
      <c r="K371" t="s">
        <v>28</v>
      </c>
    </row>
    <row r="372" spans="1:11" x14ac:dyDescent="0.25">
      <c r="A372">
        <v>371</v>
      </c>
      <c r="B372">
        <v>24</v>
      </c>
      <c r="C372" t="s">
        <v>21</v>
      </c>
      <c r="D372" t="s">
        <v>16</v>
      </c>
      <c r="E372" t="s">
        <v>18</v>
      </c>
      <c r="F372">
        <v>89870</v>
      </c>
      <c r="G372">
        <v>16</v>
      </c>
      <c r="H372">
        <v>2</v>
      </c>
      <c r="I372" t="s">
        <v>14</v>
      </c>
      <c r="J372" t="s">
        <v>14</v>
      </c>
      <c r="K372" t="s">
        <v>19</v>
      </c>
    </row>
    <row r="373" spans="1:11" x14ac:dyDescent="0.25">
      <c r="A373">
        <v>372</v>
      </c>
      <c r="B373">
        <v>30</v>
      </c>
      <c r="C373" t="s">
        <v>21</v>
      </c>
      <c r="D373" t="s">
        <v>16</v>
      </c>
      <c r="E373" t="s">
        <v>27</v>
      </c>
      <c r="F373">
        <v>70492</v>
      </c>
      <c r="G373">
        <v>1</v>
      </c>
      <c r="H373">
        <v>2</v>
      </c>
      <c r="I373" t="s">
        <v>15</v>
      </c>
      <c r="J373" t="s">
        <v>14</v>
      </c>
      <c r="K373" t="s">
        <v>16</v>
      </c>
    </row>
    <row r="374" spans="1:11" x14ac:dyDescent="0.25">
      <c r="A374">
        <v>373</v>
      </c>
      <c r="B374">
        <v>38</v>
      </c>
      <c r="C374" t="s">
        <v>21</v>
      </c>
      <c r="D374" t="s">
        <v>17</v>
      </c>
      <c r="E374" t="s">
        <v>23</v>
      </c>
      <c r="F374">
        <v>110302</v>
      </c>
      <c r="G374">
        <v>10</v>
      </c>
      <c r="H374">
        <v>3</v>
      </c>
      <c r="I374" t="s">
        <v>14</v>
      </c>
      <c r="J374" t="s">
        <v>14</v>
      </c>
      <c r="K374" t="s">
        <v>16</v>
      </c>
    </row>
    <row r="375" spans="1:11" x14ac:dyDescent="0.25">
      <c r="A375">
        <v>374</v>
      </c>
      <c r="B375">
        <v>51</v>
      </c>
      <c r="C375" t="s">
        <v>11</v>
      </c>
      <c r="D375" t="s">
        <v>16</v>
      </c>
      <c r="E375" t="s">
        <v>24</v>
      </c>
      <c r="F375">
        <v>118094</v>
      </c>
      <c r="G375">
        <v>0</v>
      </c>
      <c r="H375">
        <v>1</v>
      </c>
      <c r="I375" t="s">
        <v>14</v>
      </c>
      <c r="J375" t="s">
        <v>15</v>
      </c>
      <c r="K375" t="s">
        <v>26</v>
      </c>
    </row>
    <row r="376" spans="1:11" x14ac:dyDescent="0.25">
      <c r="A376">
        <v>375</v>
      </c>
      <c r="B376">
        <v>58</v>
      </c>
      <c r="C376" t="s">
        <v>21</v>
      </c>
      <c r="D376" t="s">
        <v>28</v>
      </c>
      <c r="E376" t="s">
        <v>23</v>
      </c>
      <c r="F376">
        <v>117989</v>
      </c>
      <c r="G376">
        <v>3</v>
      </c>
      <c r="H376">
        <v>4</v>
      </c>
      <c r="I376" t="s">
        <v>15</v>
      </c>
      <c r="J376" t="s">
        <v>15</v>
      </c>
      <c r="K376" t="s">
        <v>28</v>
      </c>
    </row>
    <row r="377" spans="1:11" x14ac:dyDescent="0.25">
      <c r="A377">
        <v>376</v>
      </c>
      <c r="B377">
        <v>58</v>
      </c>
      <c r="C377" t="s">
        <v>21</v>
      </c>
      <c r="D377" t="s">
        <v>16</v>
      </c>
      <c r="E377" t="s">
        <v>24</v>
      </c>
      <c r="F377">
        <v>77003</v>
      </c>
      <c r="G377">
        <v>19</v>
      </c>
      <c r="H377">
        <v>4</v>
      </c>
      <c r="I377" t="s">
        <v>14</v>
      </c>
      <c r="J377" t="s">
        <v>14</v>
      </c>
      <c r="K377" t="s">
        <v>26</v>
      </c>
    </row>
    <row r="378" spans="1:11" x14ac:dyDescent="0.25">
      <c r="A378">
        <v>377</v>
      </c>
      <c r="B378">
        <v>47</v>
      </c>
      <c r="C378" t="s">
        <v>21</v>
      </c>
      <c r="D378" t="s">
        <v>25</v>
      </c>
      <c r="E378" t="s">
        <v>23</v>
      </c>
      <c r="F378">
        <v>105507</v>
      </c>
      <c r="G378">
        <v>10</v>
      </c>
      <c r="H378">
        <v>1</v>
      </c>
      <c r="I378" t="s">
        <v>14</v>
      </c>
      <c r="J378" t="s">
        <v>14</v>
      </c>
      <c r="K378" t="s">
        <v>17</v>
      </c>
    </row>
    <row r="379" spans="1:11" x14ac:dyDescent="0.25">
      <c r="A379">
        <v>378</v>
      </c>
      <c r="B379">
        <v>41</v>
      </c>
      <c r="C379" t="s">
        <v>11</v>
      </c>
      <c r="D379" t="s">
        <v>16</v>
      </c>
      <c r="E379" t="s">
        <v>18</v>
      </c>
      <c r="F379">
        <v>51745</v>
      </c>
      <c r="G379">
        <v>9</v>
      </c>
      <c r="H379">
        <v>3</v>
      </c>
      <c r="I379" t="s">
        <v>15</v>
      </c>
      <c r="J379" t="s">
        <v>15</v>
      </c>
      <c r="K379" t="s">
        <v>28</v>
      </c>
    </row>
    <row r="380" spans="1:11" x14ac:dyDescent="0.25">
      <c r="A380">
        <v>379</v>
      </c>
      <c r="B380">
        <v>42</v>
      </c>
      <c r="C380" t="s">
        <v>11</v>
      </c>
      <c r="D380" t="s">
        <v>16</v>
      </c>
      <c r="E380" t="s">
        <v>20</v>
      </c>
      <c r="F380">
        <v>110525</v>
      </c>
      <c r="G380">
        <v>8</v>
      </c>
      <c r="H380">
        <v>2</v>
      </c>
      <c r="I380" t="s">
        <v>15</v>
      </c>
      <c r="J380" t="s">
        <v>15</v>
      </c>
      <c r="K380" t="s">
        <v>28</v>
      </c>
    </row>
    <row r="381" spans="1:11" x14ac:dyDescent="0.25">
      <c r="A381">
        <v>380</v>
      </c>
      <c r="B381">
        <v>53</v>
      </c>
      <c r="C381" t="s">
        <v>11</v>
      </c>
      <c r="D381" t="s">
        <v>22</v>
      </c>
      <c r="E381" t="s">
        <v>23</v>
      </c>
      <c r="F381">
        <v>64009</v>
      </c>
      <c r="G381">
        <v>16</v>
      </c>
      <c r="H381">
        <v>4</v>
      </c>
      <c r="I381" t="s">
        <v>15</v>
      </c>
      <c r="J381" t="s">
        <v>14</v>
      </c>
      <c r="K381" t="s">
        <v>19</v>
      </c>
    </row>
    <row r="382" spans="1:11" x14ac:dyDescent="0.25">
      <c r="A382">
        <v>381</v>
      </c>
      <c r="B382">
        <v>55</v>
      </c>
      <c r="C382" t="s">
        <v>11</v>
      </c>
      <c r="D382" t="s">
        <v>22</v>
      </c>
      <c r="E382" t="s">
        <v>18</v>
      </c>
      <c r="F382">
        <v>18794</v>
      </c>
      <c r="G382">
        <v>18</v>
      </c>
      <c r="H382">
        <v>1</v>
      </c>
      <c r="I382" t="s">
        <v>14</v>
      </c>
      <c r="J382" t="s">
        <v>14</v>
      </c>
      <c r="K382" t="s">
        <v>28</v>
      </c>
    </row>
    <row r="383" spans="1:11" x14ac:dyDescent="0.25">
      <c r="A383">
        <v>382</v>
      </c>
      <c r="B383">
        <v>25</v>
      </c>
      <c r="C383" t="s">
        <v>21</v>
      </c>
      <c r="D383" t="s">
        <v>17</v>
      </c>
      <c r="E383" t="s">
        <v>20</v>
      </c>
      <c r="F383">
        <v>107357</v>
      </c>
      <c r="G383">
        <v>11</v>
      </c>
      <c r="H383">
        <v>1</v>
      </c>
      <c r="I383" t="s">
        <v>15</v>
      </c>
      <c r="J383" t="s">
        <v>14</v>
      </c>
      <c r="K383" t="s">
        <v>26</v>
      </c>
    </row>
    <row r="384" spans="1:11" x14ac:dyDescent="0.25">
      <c r="A384">
        <v>383</v>
      </c>
      <c r="B384">
        <v>37</v>
      </c>
      <c r="C384" t="s">
        <v>21</v>
      </c>
      <c r="D384" t="s">
        <v>17</v>
      </c>
      <c r="E384" t="s">
        <v>24</v>
      </c>
      <c r="F384">
        <v>79066</v>
      </c>
      <c r="G384">
        <v>11</v>
      </c>
      <c r="H384">
        <v>3</v>
      </c>
      <c r="I384" t="s">
        <v>14</v>
      </c>
      <c r="J384" t="s">
        <v>15</v>
      </c>
      <c r="K384" t="s">
        <v>17</v>
      </c>
    </row>
    <row r="385" spans="1:11" x14ac:dyDescent="0.25">
      <c r="A385">
        <v>384</v>
      </c>
      <c r="B385">
        <v>32</v>
      </c>
      <c r="C385" t="s">
        <v>21</v>
      </c>
      <c r="D385" t="s">
        <v>22</v>
      </c>
      <c r="E385" t="s">
        <v>18</v>
      </c>
      <c r="F385">
        <v>113167</v>
      </c>
      <c r="G385">
        <v>8</v>
      </c>
      <c r="H385">
        <v>2</v>
      </c>
      <c r="I385" t="s">
        <v>15</v>
      </c>
      <c r="J385" t="s">
        <v>14</v>
      </c>
      <c r="K385" t="s">
        <v>19</v>
      </c>
    </row>
    <row r="386" spans="1:11" x14ac:dyDescent="0.25">
      <c r="A386">
        <v>385</v>
      </c>
      <c r="B386">
        <v>36</v>
      </c>
      <c r="C386" t="s">
        <v>11</v>
      </c>
      <c r="D386" t="s">
        <v>28</v>
      </c>
      <c r="E386" t="s">
        <v>18</v>
      </c>
      <c r="F386">
        <v>50269</v>
      </c>
      <c r="G386">
        <v>6</v>
      </c>
      <c r="H386">
        <v>2</v>
      </c>
      <c r="I386" t="s">
        <v>15</v>
      </c>
      <c r="J386" t="s">
        <v>15</v>
      </c>
      <c r="K386" t="s">
        <v>16</v>
      </c>
    </row>
    <row r="387" spans="1:11" x14ac:dyDescent="0.25">
      <c r="A387">
        <v>386</v>
      </c>
      <c r="B387">
        <v>22</v>
      </c>
      <c r="C387" t="s">
        <v>21</v>
      </c>
      <c r="D387" t="s">
        <v>28</v>
      </c>
      <c r="E387" t="s">
        <v>20</v>
      </c>
      <c r="F387">
        <v>48081</v>
      </c>
      <c r="G387">
        <v>7</v>
      </c>
      <c r="H387">
        <v>3</v>
      </c>
      <c r="I387" t="s">
        <v>15</v>
      </c>
      <c r="J387" t="s">
        <v>15</v>
      </c>
      <c r="K387" t="s">
        <v>28</v>
      </c>
    </row>
    <row r="388" spans="1:11" x14ac:dyDescent="0.25">
      <c r="A388">
        <v>387</v>
      </c>
      <c r="B388">
        <v>38</v>
      </c>
      <c r="C388" t="s">
        <v>21</v>
      </c>
      <c r="D388" t="s">
        <v>17</v>
      </c>
      <c r="E388" t="s">
        <v>13</v>
      </c>
      <c r="F388">
        <v>76171</v>
      </c>
      <c r="G388">
        <v>6</v>
      </c>
      <c r="H388">
        <v>1</v>
      </c>
      <c r="I388" t="s">
        <v>15</v>
      </c>
      <c r="J388" t="s">
        <v>15</v>
      </c>
      <c r="K388" t="s">
        <v>16</v>
      </c>
    </row>
    <row r="389" spans="1:11" x14ac:dyDescent="0.25">
      <c r="A389">
        <v>388</v>
      </c>
      <c r="B389">
        <v>45</v>
      </c>
      <c r="C389" t="s">
        <v>11</v>
      </c>
      <c r="D389" t="s">
        <v>28</v>
      </c>
      <c r="E389" t="s">
        <v>13</v>
      </c>
      <c r="F389">
        <v>99848</v>
      </c>
      <c r="G389">
        <v>17</v>
      </c>
      <c r="H389">
        <v>3</v>
      </c>
      <c r="I389" t="s">
        <v>15</v>
      </c>
      <c r="J389" t="s">
        <v>15</v>
      </c>
      <c r="K389" t="s">
        <v>17</v>
      </c>
    </row>
    <row r="390" spans="1:11" x14ac:dyDescent="0.25">
      <c r="A390">
        <v>389</v>
      </c>
      <c r="B390">
        <v>42</v>
      </c>
      <c r="C390" t="s">
        <v>11</v>
      </c>
      <c r="D390" t="s">
        <v>22</v>
      </c>
      <c r="E390" t="s">
        <v>24</v>
      </c>
      <c r="F390">
        <v>49229</v>
      </c>
      <c r="G390">
        <v>8</v>
      </c>
      <c r="H390">
        <v>4</v>
      </c>
      <c r="I390" t="s">
        <v>14</v>
      </c>
      <c r="J390" t="s">
        <v>15</v>
      </c>
      <c r="K390" t="s">
        <v>17</v>
      </c>
    </row>
    <row r="391" spans="1:11" x14ac:dyDescent="0.25">
      <c r="A391">
        <v>390</v>
      </c>
      <c r="B391">
        <v>30</v>
      </c>
      <c r="C391" t="s">
        <v>21</v>
      </c>
      <c r="D391" t="s">
        <v>28</v>
      </c>
      <c r="E391" t="s">
        <v>20</v>
      </c>
      <c r="F391">
        <v>100904</v>
      </c>
      <c r="G391">
        <v>0</v>
      </c>
      <c r="H391">
        <v>4</v>
      </c>
      <c r="I391" t="s">
        <v>15</v>
      </c>
      <c r="J391" t="s">
        <v>15</v>
      </c>
      <c r="K391" t="s">
        <v>26</v>
      </c>
    </row>
    <row r="392" spans="1:11" x14ac:dyDescent="0.25">
      <c r="A392">
        <v>391</v>
      </c>
      <c r="B392">
        <v>59</v>
      </c>
      <c r="C392" t="s">
        <v>11</v>
      </c>
      <c r="D392" t="s">
        <v>12</v>
      </c>
      <c r="E392" t="s">
        <v>24</v>
      </c>
      <c r="F392">
        <v>39892</v>
      </c>
      <c r="G392">
        <v>18</v>
      </c>
      <c r="H392">
        <v>4</v>
      </c>
      <c r="I392" t="s">
        <v>15</v>
      </c>
      <c r="J392" t="s">
        <v>15</v>
      </c>
      <c r="K392" t="s">
        <v>17</v>
      </c>
    </row>
    <row r="393" spans="1:11" x14ac:dyDescent="0.25">
      <c r="A393">
        <v>392</v>
      </c>
      <c r="B393">
        <v>54</v>
      </c>
      <c r="C393" t="s">
        <v>21</v>
      </c>
      <c r="D393" t="s">
        <v>16</v>
      </c>
      <c r="E393" t="s">
        <v>27</v>
      </c>
      <c r="F393">
        <v>37280</v>
      </c>
      <c r="G393">
        <v>9</v>
      </c>
      <c r="H393">
        <v>3</v>
      </c>
      <c r="I393" t="s">
        <v>15</v>
      </c>
      <c r="J393" t="s">
        <v>14</v>
      </c>
      <c r="K393" t="s">
        <v>16</v>
      </c>
    </row>
    <row r="394" spans="1:11" x14ac:dyDescent="0.25">
      <c r="A394">
        <v>393</v>
      </c>
      <c r="B394">
        <v>33</v>
      </c>
      <c r="C394" t="s">
        <v>11</v>
      </c>
      <c r="D394" t="s">
        <v>12</v>
      </c>
      <c r="E394" t="s">
        <v>23</v>
      </c>
      <c r="F394">
        <v>100778</v>
      </c>
      <c r="G394">
        <v>10</v>
      </c>
      <c r="H394">
        <v>4</v>
      </c>
      <c r="I394" t="s">
        <v>14</v>
      </c>
      <c r="J394" t="s">
        <v>14</v>
      </c>
      <c r="K394" t="s">
        <v>17</v>
      </c>
    </row>
    <row r="395" spans="1:11" x14ac:dyDescent="0.25">
      <c r="A395">
        <v>394</v>
      </c>
      <c r="B395">
        <v>45</v>
      </c>
      <c r="C395" t="s">
        <v>11</v>
      </c>
      <c r="D395" t="s">
        <v>28</v>
      </c>
      <c r="E395" t="s">
        <v>13</v>
      </c>
      <c r="F395">
        <v>91751</v>
      </c>
      <c r="G395">
        <v>8</v>
      </c>
      <c r="H395">
        <v>1</v>
      </c>
      <c r="I395" t="s">
        <v>15</v>
      </c>
      <c r="J395" t="s">
        <v>15</v>
      </c>
      <c r="K395" t="s">
        <v>28</v>
      </c>
    </row>
    <row r="396" spans="1:11" x14ac:dyDescent="0.25">
      <c r="A396">
        <v>395</v>
      </c>
      <c r="B396">
        <v>34</v>
      </c>
      <c r="C396" t="s">
        <v>21</v>
      </c>
      <c r="D396" t="s">
        <v>22</v>
      </c>
      <c r="E396" t="s">
        <v>18</v>
      </c>
      <c r="F396">
        <v>30704</v>
      </c>
      <c r="G396">
        <v>16</v>
      </c>
      <c r="H396">
        <v>2</v>
      </c>
      <c r="I396" t="s">
        <v>15</v>
      </c>
      <c r="J396" t="s">
        <v>15</v>
      </c>
      <c r="K396" t="s">
        <v>19</v>
      </c>
    </row>
    <row r="397" spans="1:11" x14ac:dyDescent="0.25">
      <c r="A397">
        <v>396</v>
      </c>
      <c r="B397">
        <v>43</v>
      </c>
      <c r="C397" t="s">
        <v>11</v>
      </c>
      <c r="D397" t="s">
        <v>22</v>
      </c>
      <c r="E397" t="s">
        <v>20</v>
      </c>
      <c r="F397">
        <v>89632</v>
      </c>
      <c r="G397">
        <v>13</v>
      </c>
      <c r="H397">
        <v>3</v>
      </c>
      <c r="I397" t="s">
        <v>14</v>
      </c>
      <c r="J397" t="s">
        <v>15</v>
      </c>
      <c r="K397" t="s">
        <v>19</v>
      </c>
    </row>
    <row r="398" spans="1:11" x14ac:dyDescent="0.25">
      <c r="A398">
        <v>397</v>
      </c>
      <c r="B398">
        <v>42</v>
      </c>
      <c r="C398" t="s">
        <v>11</v>
      </c>
      <c r="D398" t="s">
        <v>16</v>
      </c>
      <c r="E398" t="s">
        <v>24</v>
      </c>
      <c r="F398">
        <v>22603</v>
      </c>
      <c r="G398">
        <v>20</v>
      </c>
      <c r="H398">
        <v>2</v>
      </c>
      <c r="I398" t="s">
        <v>15</v>
      </c>
      <c r="J398" t="s">
        <v>14</v>
      </c>
      <c r="K398" t="s">
        <v>28</v>
      </c>
    </row>
    <row r="399" spans="1:11" x14ac:dyDescent="0.25">
      <c r="A399">
        <v>398</v>
      </c>
      <c r="B399">
        <v>27</v>
      </c>
      <c r="C399" t="s">
        <v>21</v>
      </c>
      <c r="D399" t="s">
        <v>28</v>
      </c>
      <c r="E399" t="s">
        <v>20</v>
      </c>
      <c r="F399">
        <v>95541</v>
      </c>
      <c r="G399">
        <v>4</v>
      </c>
      <c r="H399">
        <v>4</v>
      </c>
      <c r="I399" t="s">
        <v>15</v>
      </c>
      <c r="J399" t="s">
        <v>15</v>
      </c>
      <c r="K399" t="s">
        <v>26</v>
      </c>
    </row>
    <row r="400" spans="1:11" x14ac:dyDescent="0.25">
      <c r="A400">
        <v>399</v>
      </c>
      <c r="B400">
        <v>24</v>
      </c>
      <c r="C400" t="s">
        <v>21</v>
      </c>
      <c r="D400" t="s">
        <v>17</v>
      </c>
      <c r="E400" t="s">
        <v>18</v>
      </c>
      <c r="F400">
        <v>41137</v>
      </c>
      <c r="G400">
        <v>17</v>
      </c>
      <c r="H400">
        <v>1</v>
      </c>
      <c r="I400" t="s">
        <v>15</v>
      </c>
      <c r="J400" t="s">
        <v>15</v>
      </c>
      <c r="K400" t="s">
        <v>26</v>
      </c>
    </row>
    <row r="401" spans="1:11" x14ac:dyDescent="0.25">
      <c r="A401">
        <v>400</v>
      </c>
      <c r="B401">
        <v>37</v>
      </c>
      <c r="C401" t="s">
        <v>11</v>
      </c>
      <c r="D401" t="s">
        <v>28</v>
      </c>
      <c r="E401" t="s">
        <v>24</v>
      </c>
      <c r="F401">
        <v>105901</v>
      </c>
      <c r="G401">
        <v>7</v>
      </c>
      <c r="H401">
        <v>3</v>
      </c>
      <c r="I401" t="s">
        <v>15</v>
      </c>
      <c r="J401" t="s">
        <v>15</v>
      </c>
      <c r="K401" t="s">
        <v>19</v>
      </c>
    </row>
    <row r="402" spans="1:11" x14ac:dyDescent="0.25">
      <c r="A402">
        <v>401</v>
      </c>
      <c r="B402">
        <v>26</v>
      </c>
      <c r="C402" t="s">
        <v>21</v>
      </c>
      <c r="D402" t="s">
        <v>28</v>
      </c>
      <c r="E402" t="s">
        <v>27</v>
      </c>
      <c r="F402">
        <v>54085</v>
      </c>
      <c r="G402">
        <v>1</v>
      </c>
      <c r="H402">
        <v>2</v>
      </c>
      <c r="I402" t="s">
        <v>15</v>
      </c>
      <c r="J402" t="s">
        <v>15</v>
      </c>
      <c r="K402" t="s">
        <v>17</v>
      </c>
    </row>
    <row r="403" spans="1:11" x14ac:dyDescent="0.25">
      <c r="A403">
        <v>402</v>
      </c>
      <c r="B403">
        <v>53</v>
      </c>
      <c r="C403" t="s">
        <v>21</v>
      </c>
      <c r="D403" t="s">
        <v>22</v>
      </c>
      <c r="E403" t="s">
        <v>18</v>
      </c>
      <c r="F403">
        <v>113319</v>
      </c>
      <c r="G403">
        <v>11</v>
      </c>
      <c r="H403">
        <v>2</v>
      </c>
      <c r="I403" t="s">
        <v>14</v>
      </c>
      <c r="J403" t="s">
        <v>14</v>
      </c>
      <c r="K403" t="s">
        <v>19</v>
      </c>
    </row>
    <row r="404" spans="1:11" x14ac:dyDescent="0.25">
      <c r="A404">
        <v>403</v>
      </c>
      <c r="B404">
        <v>35</v>
      </c>
      <c r="C404" t="s">
        <v>11</v>
      </c>
      <c r="D404" t="s">
        <v>28</v>
      </c>
      <c r="E404" t="s">
        <v>27</v>
      </c>
      <c r="F404">
        <v>92292</v>
      </c>
      <c r="G404">
        <v>0</v>
      </c>
      <c r="H404">
        <v>3</v>
      </c>
      <c r="I404" t="s">
        <v>14</v>
      </c>
      <c r="J404" t="s">
        <v>14</v>
      </c>
      <c r="K404" t="s">
        <v>16</v>
      </c>
    </row>
    <row r="405" spans="1:11" x14ac:dyDescent="0.25">
      <c r="A405">
        <v>404</v>
      </c>
      <c r="B405">
        <v>25</v>
      </c>
      <c r="C405" t="s">
        <v>11</v>
      </c>
      <c r="D405" t="s">
        <v>22</v>
      </c>
      <c r="E405" t="s">
        <v>27</v>
      </c>
      <c r="F405">
        <v>21286</v>
      </c>
      <c r="G405">
        <v>19</v>
      </c>
      <c r="H405">
        <v>1</v>
      </c>
      <c r="I405" t="s">
        <v>15</v>
      </c>
      <c r="J405" t="s">
        <v>14</v>
      </c>
      <c r="K405" t="s">
        <v>28</v>
      </c>
    </row>
    <row r="406" spans="1:11" x14ac:dyDescent="0.25">
      <c r="A406">
        <v>405</v>
      </c>
      <c r="B406">
        <v>50</v>
      </c>
      <c r="C406" t="s">
        <v>11</v>
      </c>
      <c r="D406" t="s">
        <v>16</v>
      </c>
      <c r="E406" t="s">
        <v>27</v>
      </c>
      <c r="F406">
        <v>31199</v>
      </c>
      <c r="G406">
        <v>12</v>
      </c>
      <c r="H406">
        <v>1</v>
      </c>
      <c r="I406" t="s">
        <v>15</v>
      </c>
      <c r="J406" t="s">
        <v>15</v>
      </c>
      <c r="K406" t="s">
        <v>17</v>
      </c>
    </row>
    <row r="407" spans="1:11" x14ac:dyDescent="0.25">
      <c r="A407">
        <v>406</v>
      </c>
      <c r="B407">
        <v>48</v>
      </c>
      <c r="C407" t="s">
        <v>11</v>
      </c>
      <c r="D407" t="s">
        <v>28</v>
      </c>
      <c r="E407" t="s">
        <v>13</v>
      </c>
      <c r="F407">
        <v>101832</v>
      </c>
      <c r="G407">
        <v>3</v>
      </c>
      <c r="H407">
        <v>1</v>
      </c>
      <c r="I407" t="s">
        <v>15</v>
      </c>
      <c r="J407" t="s">
        <v>15</v>
      </c>
      <c r="K407" t="s">
        <v>17</v>
      </c>
    </row>
    <row r="408" spans="1:11" x14ac:dyDescent="0.25">
      <c r="A408">
        <v>407</v>
      </c>
      <c r="B408">
        <v>29</v>
      </c>
      <c r="C408" t="s">
        <v>21</v>
      </c>
      <c r="D408" t="s">
        <v>17</v>
      </c>
      <c r="E408" t="s">
        <v>18</v>
      </c>
      <c r="F408">
        <v>80239</v>
      </c>
      <c r="G408">
        <v>3</v>
      </c>
      <c r="H408">
        <v>3</v>
      </c>
      <c r="I408" t="s">
        <v>15</v>
      </c>
      <c r="J408" t="s">
        <v>14</v>
      </c>
      <c r="K408" t="s">
        <v>28</v>
      </c>
    </row>
    <row r="409" spans="1:11" x14ac:dyDescent="0.25">
      <c r="A409">
        <v>408</v>
      </c>
      <c r="B409">
        <v>40</v>
      </c>
      <c r="C409" t="s">
        <v>21</v>
      </c>
      <c r="D409" t="s">
        <v>25</v>
      </c>
      <c r="E409" t="s">
        <v>18</v>
      </c>
      <c r="F409">
        <v>20164</v>
      </c>
      <c r="G409">
        <v>5</v>
      </c>
      <c r="H409">
        <v>1</v>
      </c>
      <c r="I409" t="s">
        <v>15</v>
      </c>
      <c r="J409" t="s">
        <v>15</v>
      </c>
      <c r="K409" t="s">
        <v>26</v>
      </c>
    </row>
    <row r="410" spans="1:11" x14ac:dyDescent="0.25">
      <c r="A410">
        <v>409</v>
      </c>
      <c r="B410">
        <v>27</v>
      </c>
      <c r="C410" t="s">
        <v>11</v>
      </c>
      <c r="D410" t="s">
        <v>17</v>
      </c>
      <c r="E410" t="s">
        <v>13</v>
      </c>
      <c r="F410">
        <v>90255</v>
      </c>
      <c r="G410">
        <v>3</v>
      </c>
      <c r="H410">
        <v>1</v>
      </c>
      <c r="I410" t="s">
        <v>14</v>
      </c>
      <c r="J410" t="s">
        <v>15</v>
      </c>
      <c r="K410" t="s">
        <v>17</v>
      </c>
    </row>
    <row r="411" spans="1:11" x14ac:dyDescent="0.25">
      <c r="A411">
        <v>410</v>
      </c>
      <c r="B411">
        <v>36</v>
      </c>
      <c r="C411" t="s">
        <v>11</v>
      </c>
      <c r="D411" t="s">
        <v>16</v>
      </c>
      <c r="E411" t="s">
        <v>13</v>
      </c>
      <c r="F411">
        <v>53800</v>
      </c>
      <c r="G411">
        <v>14</v>
      </c>
      <c r="H411">
        <v>3</v>
      </c>
      <c r="I411" t="s">
        <v>15</v>
      </c>
      <c r="J411" t="s">
        <v>15</v>
      </c>
      <c r="K411" t="s">
        <v>17</v>
      </c>
    </row>
    <row r="412" spans="1:11" x14ac:dyDescent="0.25">
      <c r="A412">
        <v>411</v>
      </c>
      <c r="B412">
        <v>42</v>
      </c>
      <c r="C412" t="s">
        <v>11</v>
      </c>
      <c r="D412" t="s">
        <v>22</v>
      </c>
      <c r="E412" t="s">
        <v>18</v>
      </c>
      <c r="F412">
        <v>111801</v>
      </c>
      <c r="G412">
        <v>13</v>
      </c>
      <c r="H412">
        <v>2</v>
      </c>
      <c r="I412" t="s">
        <v>14</v>
      </c>
      <c r="J412" t="s">
        <v>14</v>
      </c>
      <c r="K412" t="s">
        <v>17</v>
      </c>
    </row>
    <row r="413" spans="1:11" x14ac:dyDescent="0.25">
      <c r="A413">
        <v>412</v>
      </c>
      <c r="B413">
        <v>44</v>
      </c>
      <c r="C413" t="s">
        <v>11</v>
      </c>
      <c r="D413" t="s">
        <v>25</v>
      </c>
      <c r="E413" t="s">
        <v>23</v>
      </c>
      <c r="F413">
        <v>96501</v>
      </c>
      <c r="G413">
        <v>14</v>
      </c>
      <c r="H413">
        <v>2</v>
      </c>
      <c r="I413" t="s">
        <v>15</v>
      </c>
      <c r="J413" t="s">
        <v>15</v>
      </c>
      <c r="K413" t="s">
        <v>26</v>
      </c>
    </row>
    <row r="414" spans="1:11" x14ac:dyDescent="0.25">
      <c r="A414">
        <v>413</v>
      </c>
      <c r="B414">
        <v>47</v>
      </c>
      <c r="C414" t="s">
        <v>21</v>
      </c>
      <c r="D414" t="s">
        <v>28</v>
      </c>
      <c r="E414" t="s">
        <v>27</v>
      </c>
      <c r="F414">
        <v>74839</v>
      </c>
      <c r="G414">
        <v>12</v>
      </c>
      <c r="H414">
        <v>2</v>
      </c>
      <c r="I414" t="s">
        <v>15</v>
      </c>
      <c r="J414" t="s">
        <v>15</v>
      </c>
      <c r="K414" t="s">
        <v>26</v>
      </c>
    </row>
    <row r="415" spans="1:11" x14ac:dyDescent="0.25">
      <c r="A415">
        <v>414</v>
      </c>
      <c r="B415">
        <v>30</v>
      </c>
      <c r="C415" t="s">
        <v>21</v>
      </c>
      <c r="D415" t="s">
        <v>17</v>
      </c>
      <c r="E415" t="s">
        <v>27</v>
      </c>
      <c r="F415">
        <v>35892</v>
      </c>
      <c r="G415">
        <v>1</v>
      </c>
      <c r="H415">
        <v>4</v>
      </c>
      <c r="I415" t="s">
        <v>14</v>
      </c>
      <c r="J415" t="s">
        <v>14</v>
      </c>
      <c r="K415" t="s">
        <v>19</v>
      </c>
    </row>
    <row r="416" spans="1:11" x14ac:dyDescent="0.25">
      <c r="A416">
        <v>415</v>
      </c>
      <c r="B416">
        <v>46</v>
      </c>
      <c r="C416" t="s">
        <v>11</v>
      </c>
      <c r="D416" t="s">
        <v>28</v>
      </c>
      <c r="E416" t="s">
        <v>20</v>
      </c>
      <c r="F416">
        <v>95131</v>
      </c>
      <c r="G416">
        <v>11</v>
      </c>
      <c r="H416">
        <v>1</v>
      </c>
      <c r="I416" t="s">
        <v>15</v>
      </c>
      <c r="J416" t="s">
        <v>14</v>
      </c>
      <c r="K416" t="s">
        <v>28</v>
      </c>
    </row>
    <row r="417" spans="1:11" x14ac:dyDescent="0.25">
      <c r="A417">
        <v>416</v>
      </c>
      <c r="B417">
        <v>50</v>
      </c>
      <c r="C417" t="s">
        <v>11</v>
      </c>
      <c r="D417" t="s">
        <v>12</v>
      </c>
      <c r="E417" t="s">
        <v>27</v>
      </c>
      <c r="F417">
        <v>23301</v>
      </c>
      <c r="G417">
        <v>1</v>
      </c>
      <c r="H417">
        <v>2</v>
      </c>
      <c r="I417" t="s">
        <v>15</v>
      </c>
      <c r="J417" t="s">
        <v>15</v>
      </c>
      <c r="K417" t="s">
        <v>17</v>
      </c>
    </row>
    <row r="418" spans="1:11" x14ac:dyDescent="0.25">
      <c r="A418">
        <v>417</v>
      </c>
      <c r="B418">
        <v>55</v>
      </c>
      <c r="C418" t="s">
        <v>11</v>
      </c>
      <c r="D418" t="s">
        <v>28</v>
      </c>
      <c r="E418" t="s">
        <v>23</v>
      </c>
      <c r="F418">
        <v>105209</v>
      </c>
      <c r="G418">
        <v>16</v>
      </c>
      <c r="H418">
        <v>4</v>
      </c>
      <c r="I418" t="s">
        <v>15</v>
      </c>
      <c r="J418" t="s">
        <v>14</v>
      </c>
      <c r="K418" t="s">
        <v>19</v>
      </c>
    </row>
    <row r="419" spans="1:11" x14ac:dyDescent="0.25">
      <c r="A419">
        <v>418</v>
      </c>
      <c r="B419">
        <v>57</v>
      </c>
      <c r="C419" t="s">
        <v>11</v>
      </c>
      <c r="D419" t="s">
        <v>17</v>
      </c>
      <c r="E419" t="s">
        <v>20</v>
      </c>
      <c r="F419">
        <v>22152</v>
      </c>
      <c r="G419">
        <v>19</v>
      </c>
      <c r="H419">
        <v>4</v>
      </c>
      <c r="I419" t="s">
        <v>15</v>
      </c>
      <c r="J419" t="s">
        <v>14</v>
      </c>
      <c r="K419" t="s">
        <v>19</v>
      </c>
    </row>
    <row r="420" spans="1:11" x14ac:dyDescent="0.25">
      <c r="A420">
        <v>419</v>
      </c>
      <c r="B420">
        <v>26</v>
      </c>
      <c r="C420" t="s">
        <v>21</v>
      </c>
      <c r="D420" t="s">
        <v>22</v>
      </c>
      <c r="E420" t="s">
        <v>24</v>
      </c>
      <c r="F420">
        <v>57026</v>
      </c>
      <c r="G420">
        <v>15</v>
      </c>
      <c r="H420">
        <v>2</v>
      </c>
      <c r="I420" t="s">
        <v>15</v>
      </c>
      <c r="J420" t="s">
        <v>14</v>
      </c>
      <c r="K420" t="s">
        <v>16</v>
      </c>
    </row>
    <row r="421" spans="1:11" x14ac:dyDescent="0.25">
      <c r="A421">
        <v>420</v>
      </c>
      <c r="B421">
        <v>46</v>
      </c>
      <c r="C421" t="s">
        <v>21</v>
      </c>
      <c r="D421" t="s">
        <v>22</v>
      </c>
      <c r="E421" t="s">
        <v>20</v>
      </c>
      <c r="F421">
        <v>45801</v>
      </c>
      <c r="G421">
        <v>12</v>
      </c>
      <c r="H421">
        <v>4</v>
      </c>
      <c r="I421" t="s">
        <v>15</v>
      </c>
      <c r="J421" t="s">
        <v>14</v>
      </c>
      <c r="K421" t="s">
        <v>17</v>
      </c>
    </row>
    <row r="422" spans="1:11" x14ac:dyDescent="0.25">
      <c r="A422">
        <v>421</v>
      </c>
      <c r="B422">
        <v>29</v>
      </c>
      <c r="C422" t="s">
        <v>21</v>
      </c>
      <c r="D422" t="s">
        <v>22</v>
      </c>
      <c r="E422" t="s">
        <v>24</v>
      </c>
      <c r="F422">
        <v>112679</v>
      </c>
      <c r="G422">
        <v>15</v>
      </c>
      <c r="H422">
        <v>1</v>
      </c>
      <c r="I422" t="s">
        <v>14</v>
      </c>
      <c r="J422" t="s">
        <v>14</v>
      </c>
      <c r="K422" t="s">
        <v>26</v>
      </c>
    </row>
    <row r="423" spans="1:11" x14ac:dyDescent="0.25">
      <c r="A423">
        <v>422</v>
      </c>
      <c r="B423">
        <v>60</v>
      </c>
      <c r="C423" t="s">
        <v>11</v>
      </c>
      <c r="D423" t="s">
        <v>12</v>
      </c>
      <c r="E423" t="s">
        <v>27</v>
      </c>
      <c r="F423">
        <v>98563</v>
      </c>
      <c r="G423">
        <v>19</v>
      </c>
      <c r="H423">
        <v>4</v>
      </c>
      <c r="I423" t="s">
        <v>15</v>
      </c>
      <c r="J423" t="s">
        <v>15</v>
      </c>
      <c r="K423" t="s">
        <v>17</v>
      </c>
    </row>
    <row r="424" spans="1:11" x14ac:dyDescent="0.25">
      <c r="A424">
        <v>423</v>
      </c>
      <c r="B424">
        <v>45</v>
      </c>
      <c r="C424" t="s">
        <v>21</v>
      </c>
      <c r="D424" t="s">
        <v>12</v>
      </c>
      <c r="E424" t="s">
        <v>27</v>
      </c>
      <c r="F424">
        <v>44218</v>
      </c>
      <c r="G424">
        <v>1</v>
      </c>
      <c r="H424">
        <v>3</v>
      </c>
      <c r="I424" t="s">
        <v>15</v>
      </c>
      <c r="J424" t="s">
        <v>15</v>
      </c>
      <c r="K424" t="s">
        <v>28</v>
      </c>
    </row>
    <row r="425" spans="1:11" x14ac:dyDescent="0.25">
      <c r="A425">
        <v>424</v>
      </c>
      <c r="B425">
        <v>29</v>
      </c>
      <c r="C425" t="s">
        <v>21</v>
      </c>
      <c r="D425" t="s">
        <v>12</v>
      </c>
      <c r="E425" t="s">
        <v>23</v>
      </c>
      <c r="F425">
        <v>114525</v>
      </c>
      <c r="G425">
        <v>3</v>
      </c>
      <c r="H425">
        <v>3</v>
      </c>
      <c r="I425" t="s">
        <v>14</v>
      </c>
      <c r="J425" t="s">
        <v>14</v>
      </c>
      <c r="K425" t="s">
        <v>26</v>
      </c>
    </row>
    <row r="426" spans="1:11" x14ac:dyDescent="0.25">
      <c r="A426">
        <v>425</v>
      </c>
      <c r="B426">
        <v>24</v>
      </c>
      <c r="C426" t="s">
        <v>21</v>
      </c>
      <c r="D426" t="s">
        <v>22</v>
      </c>
      <c r="E426" t="s">
        <v>23</v>
      </c>
      <c r="F426">
        <v>79542</v>
      </c>
      <c r="G426">
        <v>5</v>
      </c>
      <c r="H426">
        <v>2</v>
      </c>
      <c r="I426" t="s">
        <v>15</v>
      </c>
      <c r="J426" t="s">
        <v>14</v>
      </c>
      <c r="K426" t="s">
        <v>19</v>
      </c>
    </row>
    <row r="427" spans="1:11" x14ac:dyDescent="0.25">
      <c r="A427">
        <v>426</v>
      </c>
      <c r="B427">
        <v>29</v>
      </c>
      <c r="C427" t="s">
        <v>11</v>
      </c>
      <c r="D427" t="s">
        <v>12</v>
      </c>
      <c r="E427" t="s">
        <v>23</v>
      </c>
      <c r="F427">
        <v>43257</v>
      </c>
      <c r="G427">
        <v>12</v>
      </c>
      <c r="H427">
        <v>1</v>
      </c>
      <c r="I427" t="s">
        <v>15</v>
      </c>
      <c r="J427" t="s">
        <v>15</v>
      </c>
      <c r="K427" t="s">
        <v>28</v>
      </c>
    </row>
    <row r="428" spans="1:11" x14ac:dyDescent="0.25">
      <c r="A428">
        <v>427</v>
      </c>
      <c r="B428">
        <v>24</v>
      </c>
      <c r="C428" t="s">
        <v>21</v>
      </c>
      <c r="D428" t="s">
        <v>28</v>
      </c>
      <c r="E428" t="s">
        <v>27</v>
      </c>
      <c r="F428">
        <v>103098</v>
      </c>
      <c r="G428">
        <v>20</v>
      </c>
      <c r="H428">
        <v>2</v>
      </c>
      <c r="I428" t="s">
        <v>15</v>
      </c>
      <c r="J428" t="s">
        <v>14</v>
      </c>
      <c r="K428" t="s">
        <v>28</v>
      </c>
    </row>
    <row r="429" spans="1:11" x14ac:dyDescent="0.25">
      <c r="A429">
        <v>428</v>
      </c>
      <c r="B429">
        <v>22</v>
      </c>
      <c r="C429" t="s">
        <v>21</v>
      </c>
      <c r="D429" t="s">
        <v>17</v>
      </c>
      <c r="E429" t="s">
        <v>20</v>
      </c>
      <c r="F429">
        <v>111497</v>
      </c>
      <c r="G429">
        <v>16</v>
      </c>
      <c r="H429">
        <v>2</v>
      </c>
      <c r="I429" t="s">
        <v>15</v>
      </c>
      <c r="J429" t="s">
        <v>14</v>
      </c>
      <c r="K429" t="s">
        <v>16</v>
      </c>
    </row>
    <row r="430" spans="1:11" x14ac:dyDescent="0.25">
      <c r="A430">
        <v>429</v>
      </c>
      <c r="B430">
        <v>33</v>
      </c>
      <c r="C430" t="s">
        <v>21</v>
      </c>
      <c r="D430" t="s">
        <v>17</v>
      </c>
      <c r="E430" t="s">
        <v>20</v>
      </c>
      <c r="F430">
        <v>28573</v>
      </c>
      <c r="G430">
        <v>4</v>
      </c>
      <c r="H430">
        <v>4</v>
      </c>
      <c r="I430" t="s">
        <v>15</v>
      </c>
      <c r="J430" t="s">
        <v>15</v>
      </c>
      <c r="K430" t="s">
        <v>16</v>
      </c>
    </row>
    <row r="431" spans="1:11" x14ac:dyDescent="0.25">
      <c r="A431">
        <v>430</v>
      </c>
      <c r="B431">
        <v>37</v>
      </c>
      <c r="C431" t="s">
        <v>21</v>
      </c>
      <c r="D431" t="s">
        <v>16</v>
      </c>
      <c r="E431" t="s">
        <v>18</v>
      </c>
      <c r="F431">
        <v>67149</v>
      </c>
      <c r="G431">
        <v>8</v>
      </c>
      <c r="H431">
        <v>4</v>
      </c>
      <c r="I431" t="s">
        <v>15</v>
      </c>
      <c r="J431" t="s">
        <v>15</v>
      </c>
      <c r="K431" t="s">
        <v>16</v>
      </c>
    </row>
    <row r="432" spans="1:11" x14ac:dyDescent="0.25">
      <c r="A432">
        <v>431</v>
      </c>
      <c r="B432">
        <v>54</v>
      </c>
      <c r="C432" t="s">
        <v>11</v>
      </c>
      <c r="D432" t="s">
        <v>16</v>
      </c>
      <c r="E432" t="s">
        <v>18</v>
      </c>
      <c r="F432">
        <v>106946</v>
      </c>
      <c r="G432">
        <v>9</v>
      </c>
      <c r="H432">
        <v>3</v>
      </c>
      <c r="I432" t="s">
        <v>15</v>
      </c>
      <c r="J432" t="s">
        <v>15</v>
      </c>
      <c r="K432" t="s">
        <v>17</v>
      </c>
    </row>
    <row r="433" spans="1:11" x14ac:dyDescent="0.25">
      <c r="A433">
        <v>432</v>
      </c>
      <c r="B433">
        <v>30</v>
      </c>
      <c r="C433" t="s">
        <v>21</v>
      </c>
      <c r="D433" t="s">
        <v>17</v>
      </c>
      <c r="E433" t="s">
        <v>20</v>
      </c>
      <c r="F433">
        <v>38306</v>
      </c>
      <c r="G433">
        <v>20</v>
      </c>
      <c r="H433">
        <v>4</v>
      </c>
      <c r="I433" t="s">
        <v>15</v>
      </c>
      <c r="J433" t="s">
        <v>15</v>
      </c>
      <c r="K433" t="s">
        <v>16</v>
      </c>
    </row>
    <row r="434" spans="1:11" x14ac:dyDescent="0.25">
      <c r="A434">
        <v>433</v>
      </c>
      <c r="B434">
        <v>40</v>
      </c>
      <c r="C434" t="s">
        <v>11</v>
      </c>
      <c r="D434" t="s">
        <v>22</v>
      </c>
      <c r="E434" t="s">
        <v>27</v>
      </c>
      <c r="F434">
        <v>16673</v>
      </c>
      <c r="G434">
        <v>13</v>
      </c>
      <c r="H434">
        <v>1</v>
      </c>
      <c r="I434" t="s">
        <v>14</v>
      </c>
      <c r="J434" t="s">
        <v>14</v>
      </c>
      <c r="K434" t="s">
        <v>19</v>
      </c>
    </row>
    <row r="435" spans="1:11" x14ac:dyDescent="0.25">
      <c r="A435">
        <v>434</v>
      </c>
      <c r="B435">
        <v>39</v>
      </c>
      <c r="C435" t="s">
        <v>11</v>
      </c>
      <c r="D435" t="s">
        <v>12</v>
      </c>
      <c r="E435" t="s">
        <v>23</v>
      </c>
      <c r="F435">
        <v>52567</v>
      </c>
      <c r="G435">
        <v>5</v>
      </c>
      <c r="H435">
        <v>2</v>
      </c>
      <c r="I435" t="s">
        <v>14</v>
      </c>
      <c r="J435" t="s">
        <v>15</v>
      </c>
      <c r="K435" t="s">
        <v>16</v>
      </c>
    </row>
    <row r="436" spans="1:11" x14ac:dyDescent="0.25">
      <c r="A436">
        <v>435</v>
      </c>
      <c r="B436">
        <v>24</v>
      </c>
      <c r="C436" t="s">
        <v>11</v>
      </c>
      <c r="D436" t="s">
        <v>12</v>
      </c>
      <c r="E436" t="s">
        <v>27</v>
      </c>
      <c r="F436">
        <v>74322</v>
      </c>
      <c r="G436">
        <v>11</v>
      </c>
      <c r="H436">
        <v>4</v>
      </c>
      <c r="I436" t="s">
        <v>15</v>
      </c>
      <c r="J436" t="s">
        <v>14</v>
      </c>
      <c r="K436" t="s">
        <v>19</v>
      </c>
    </row>
    <row r="437" spans="1:11" x14ac:dyDescent="0.25">
      <c r="A437">
        <v>436</v>
      </c>
      <c r="B437">
        <v>54</v>
      </c>
      <c r="C437" t="s">
        <v>21</v>
      </c>
      <c r="D437" t="s">
        <v>28</v>
      </c>
      <c r="E437" t="s">
        <v>27</v>
      </c>
      <c r="F437">
        <v>105824</v>
      </c>
      <c r="G437">
        <v>9</v>
      </c>
      <c r="H437">
        <v>3</v>
      </c>
      <c r="I437" t="s">
        <v>15</v>
      </c>
      <c r="J437" t="s">
        <v>14</v>
      </c>
      <c r="K437" t="s">
        <v>16</v>
      </c>
    </row>
    <row r="438" spans="1:11" x14ac:dyDescent="0.25">
      <c r="A438">
        <v>437</v>
      </c>
      <c r="B438">
        <v>25</v>
      </c>
      <c r="C438" t="s">
        <v>21</v>
      </c>
      <c r="D438" t="s">
        <v>16</v>
      </c>
      <c r="E438" t="s">
        <v>27</v>
      </c>
      <c r="F438">
        <v>112474</v>
      </c>
      <c r="G438">
        <v>0</v>
      </c>
      <c r="H438">
        <v>3</v>
      </c>
      <c r="I438" t="s">
        <v>14</v>
      </c>
      <c r="J438" t="s">
        <v>15</v>
      </c>
      <c r="K438" t="s">
        <v>16</v>
      </c>
    </row>
    <row r="439" spans="1:11" x14ac:dyDescent="0.25">
      <c r="A439">
        <v>438</v>
      </c>
      <c r="B439">
        <v>56</v>
      </c>
      <c r="C439" t="s">
        <v>11</v>
      </c>
      <c r="D439" t="s">
        <v>12</v>
      </c>
      <c r="E439" t="s">
        <v>13</v>
      </c>
      <c r="F439">
        <v>40751</v>
      </c>
      <c r="G439">
        <v>19</v>
      </c>
      <c r="H439">
        <v>2</v>
      </c>
      <c r="I439" t="s">
        <v>15</v>
      </c>
      <c r="J439" t="s">
        <v>14</v>
      </c>
      <c r="K439" t="s">
        <v>19</v>
      </c>
    </row>
    <row r="440" spans="1:11" x14ac:dyDescent="0.25">
      <c r="A440">
        <v>439</v>
      </c>
      <c r="B440">
        <v>54</v>
      </c>
      <c r="C440" t="s">
        <v>21</v>
      </c>
      <c r="D440" t="s">
        <v>16</v>
      </c>
      <c r="E440" t="s">
        <v>18</v>
      </c>
      <c r="F440">
        <v>64440</v>
      </c>
      <c r="G440">
        <v>3</v>
      </c>
      <c r="H440">
        <v>3</v>
      </c>
      <c r="I440" t="s">
        <v>15</v>
      </c>
      <c r="J440" t="s">
        <v>14</v>
      </c>
      <c r="K440" t="s">
        <v>26</v>
      </c>
    </row>
    <row r="441" spans="1:11" x14ac:dyDescent="0.25">
      <c r="A441">
        <v>440</v>
      </c>
      <c r="B441">
        <v>43</v>
      </c>
      <c r="C441" t="s">
        <v>21</v>
      </c>
      <c r="D441" t="s">
        <v>17</v>
      </c>
      <c r="E441" t="s">
        <v>13</v>
      </c>
      <c r="F441">
        <v>108020</v>
      </c>
      <c r="G441">
        <v>14</v>
      </c>
      <c r="H441">
        <v>3</v>
      </c>
      <c r="I441" t="s">
        <v>14</v>
      </c>
      <c r="J441" t="s">
        <v>14</v>
      </c>
      <c r="K441" t="s">
        <v>28</v>
      </c>
    </row>
    <row r="442" spans="1:11" x14ac:dyDescent="0.25">
      <c r="A442">
        <v>441</v>
      </c>
      <c r="B442">
        <v>58</v>
      </c>
      <c r="C442" t="s">
        <v>21</v>
      </c>
      <c r="D442" t="s">
        <v>17</v>
      </c>
      <c r="E442" t="s">
        <v>18</v>
      </c>
      <c r="F442">
        <v>61934</v>
      </c>
      <c r="G442">
        <v>17</v>
      </c>
      <c r="H442">
        <v>2</v>
      </c>
      <c r="I442" t="s">
        <v>15</v>
      </c>
      <c r="J442" t="s">
        <v>14</v>
      </c>
      <c r="K442" t="s">
        <v>16</v>
      </c>
    </row>
    <row r="443" spans="1:11" x14ac:dyDescent="0.25">
      <c r="A443">
        <v>442</v>
      </c>
      <c r="B443">
        <v>26</v>
      </c>
      <c r="C443" t="s">
        <v>21</v>
      </c>
      <c r="D443" t="s">
        <v>22</v>
      </c>
      <c r="E443" t="s">
        <v>23</v>
      </c>
      <c r="F443">
        <v>35889</v>
      </c>
      <c r="G443">
        <v>16</v>
      </c>
      <c r="H443">
        <v>2</v>
      </c>
      <c r="I443" t="s">
        <v>15</v>
      </c>
      <c r="J443" t="s">
        <v>15</v>
      </c>
      <c r="K443" t="s">
        <v>19</v>
      </c>
    </row>
    <row r="444" spans="1:11" x14ac:dyDescent="0.25">
      <c r="A444">
        <v>443</v>
      </c>
      <c r="B444">
        <v>43</v>
      </c>
      <c r="C444" t="s">
        <v>21</v>
      </c>
      <c r="D444" t="s">
        <v>17</v>
      </c>
      <c r="E444" t="s">
        <v>27</v>
      </c>
      <c r="F444">
        <v>62290</v>
      </c>
      <c r="G444">
        <v>10</v>
      </c>
      <c r="H444">
        <v>1</v>
      </c>
      <c r="I444" t="s">
        <v>14</v>
      </c>
      <c r="J444" t="s">
        <v>15</v>
      </c>
      <c r="K444" t="s">
        <v>26</v>
      </c>
    </row>
    <row r="445" spans="1:11" x14ac:dyDescent="0.25">
      <c r="A445">
        <v>444</v>
      </c>
      <c r="B445">
        <v>44</v>
      </c>
      <c r="C445" t="s">
        <v>21</v>
      </c>
      <c r="D445" t="s">
        <v>28</v>
      </c>
      <c r="E445" t="s">
        <v>13</v>
      </c>
      <c r="F445">
        <v>46502</v>
      </c>
      <c r="G445">
        <v>14</v>
      </c>
      <c r="H445">
        <v>4</v>
      </c>
      <c r="I445" t="s">
        <v>15</v>
      </c>
      <c r="J445" t="s">
        <v>14</v>
      </c>
      <c r="K445" t="s">
        <v>17</v>
      </c>
    </row>
    <row r="446" spans="1:11" x14ac:dyDescent="0.25">
      <c r="A446">
        <v>445</v>
      </c>
      <c r="B446">
        <v>56</v>
      </c>
      <c r="C446" t="s">
        <v>21</v>
      </c>
      <c r="D446" t="s">
        <v>28</v>
      </c>
      <c r="E446" t="s">
        <v>13</v>
      </c>
      <c r="F446">
        <v>18238</v>
      </c>
      <c r="G446">
        <v>9</v>
      </c>
      <c r="H446">
        <v>3</v>
      </c>
      <c r="I446" t="s">
        <v>15</v>
      </c>
      <c r="J446" t="s">
        <v>15</v>
      </c>
      <c r="K446" t="s">
        <v>19</v>
      </c>
    </row>
    <row r="447" spans="1:11" x14ac:dyDescent="0.25">
      <c r="A447">
        <v>446</v>
      </c>
      <c r="B447">
        <v>42</v>
      </c>
      <c r="C447" t="s">
        <v>11</v>
      </c>
      <c r="D447" t="s">
        <v>12</v>
      </c>
      <c r="E447" t="s">
        <v>13</v>
      </c>
      <c r="F447">
        <v>25793</v>
      </c>
      <c r="G447">
        <v>16</v>
      </c>
      <c r="H447">
        <v>2</v>
      </c>
      <c r="I447" t="s">
        <v>14</v>
      </c>
      <c r="J447" t="s">
        <v>14</v>
      </c>
      <c r="K447" t="s">
        <v>19</v>
      </c>
    </row>
    <row r="448" spans="1:11" x14ac:dyDescent="0.25">
      <c r="A448">
        <v>447</v>
      </c>
      <c r="B448">
        <v>49</v>
      </c>
      <c r="C448" t="s">
        <v>11</v>
      </c>
      <c r="D448" t="s">
        <v>12</v>
      </c>
      <c r="E448" t="s">
        <v>27</v>
      </c>
      <c r="F448">
        <v>41945</v>
      </c>
      <c r="G448">
        <v>3</v>
      </c>
      <c r="H448">
        <v>2</v>
      </c>
      <c r="I448" t="s">
        <v>15</v>
      </c>
      <c r="J448" t="s">
        <v>15</v>
      </c>
      <c r="K448" t="s">
        <v>26</v>
      </c>
    </row>
    <row r="449" spans="1:11" x14ac:dyDescent="0.25">
      <c r="A449">
        <v>448</v>
      </c>
      <c r="B449">
        <v>51</v>
      </c>
      <c r="C449" t="s">
        <v>11</v>
      </c>
      <c r="D449" t="s">
        <v>25</v>
      </c>
      <c r="E449" t="s">
        <v>24</v>
      </c>
      <c r="F449">
        <v>19965</v>
      </c>
      <c r="G449">
        <v>10</v>
      </c>
      <c r="H449">
        <v>1</v>
      </c>
      <c r="I449" t="s">
        <v>14</v>
      </c>
      <c r="J449" t="s">
        <v>14</v>
      </c>
      <c r="K449" t="s">
        <v>16</v>
      </c>
    </row>
    <row r="450" spans="1:11" x14ac:dyDescent="0.25">
      <c r="A450">
        <v>449</v>
      </c>
      <c r="B450">
        <v>36</v>
      </c>
      <c r="C450" t="s">
        <v>21</v>
      </c>
      <c r="D450" t="s">
        <v>28</v>
      </c>
      <c r="E450" t="s">
        <v>23</v>
      </c>
      <c r="F450">
        <v>68429</v>
      </c>
      <c r="G450">
        <v>8</v>
      </c>
      <c r="H450">
        <v>1</v>
      </c>
      <c r="I450" t="s">
        <v>15</v>
      </c>
      <c r="J450" t="s">
        <v>15</v>
      </c>
      <c r="K450" t="s">
        <v>28</v>
      </c>
    </row>
    <row r="451" spans="1:11" x14ac:dyDescent="0.25">
      <c r="A451">
        <v>450</v>
      </c>
      <c r="B451">
        <v>29</v>
      </c>
      <c r="C451" t="s">
        <v>11</v>
      </c>
      <c r="D451" t="s">
        <v>12</v>
      </c>
      <c r="E451" t="s">
        <v>13</v>
      </c>
      <c r="F451">
        <v>15773</v>
      </c>
      <c r="G451">
        <v>17</v>
      </c>
      <c r="H451">
        <v>3</v>
      </c>
      <c r="I451" t="s">
        <v>15</v>
      </c>
      <c r="J451" t="s">
        <v>14</v>
      </c>
      <c r="K451" t="s">
        <v>16</v>
      </c>
    </row>
    <row r="452" spans="1:11" x14ac:dyDescent="0.25">
      <c r="A452">
        <v>451</v>
      </c>
      <c r="B452">
        <v>28</v>
      </c>
      <c r="C452" t="s">
        <v>21</v>
      </c>
      <c r="D452" t="s">
        <v>28</v>
      </c>
      <c r="E452" t="s">
        <v>20</v>
      </c>
      <c r="F452">
        <v>118139</v>
      </c>
      <c r="G452">
        <v>9</v>
      </c>
      <c r="H452">
        <v>4</v>
      </c>
      <c r="I452" t="s">
        <v>15</v>
      </c>
      <c r="J452" t="s">
        <v>15</v>
      </c>
      <c r="K452" t="s">
        <v>26</v>
      </c>
    </row>
    <row r="453" spans="1:11" x14ac:dyDescent="0.25">
      <c r="A453">
        <v>452</v>
      </c>
      <c r="B453">
        <v>52</v>
      </c>
      <c r="C453" t="s">
        <v>21</v>
      </c>
      <c r="D453" t="s">
        <v>17</v>
      </c>
      <c r="E453" t="s">
        <v>23</v>
      </c>
      <c r="F453">
        <v>84922</v>
      </c>
      <c r="G453">
        <v>5</v>
      </c>
      <c r="H453">
        <v>2</v>
      </c>
      <c r="I453" t="s">
        <v>14</v>
      </c>
      <c r="J453" t="s">
        <v>14</v>
      </c>
      <c r="K453" t="s">
        <v>17</v>
      </c>
    </row>
    <row r="454" spans="1:11" x14ac:dyDescent="0.25">
      <c r="A454">
        <v>453</v>
      </c>
      <c r="B454">
        <v>45</v>
      </c>
      <c r="C454" t="s">
        <v>11</v>
      </c>
      <c r="D454" t="s">
        <v>17</v>
      </c>
      <c r="E454" t="s">
        <v>24</v>
      </c>
      <c r="F454">
        <v>87551</v>
      </c>
      <c r="G454">
        <v>0</v>
      </c>
      <c r="H454">
        <v>4</v>
      </c>
      <c r="I454" t="s">
        <v>14</v>
      </c>
      <c r="J454" t="s">
        <v>14</v>
      </c>
      <c r="K454" t="s">
        <v>16</v>
      </c>
    </row>
    <row r="455" spans="1:11" x14ac:dyDescent="0.25">
      <c r="A455">
        <v>454</v>
      </c>
      <c r="B455">
        <v>57</v>
      </c>
      <c r="C455" t="s">
        <v>21</v>
      </c>
      <c r="D455" t="s">
        <v>16</v>
      </c>
      <c r="E455" t="s">
        <v>20</v>
      </c>
      <c r="F455">
        <v>54936</v>
      </c>
      <c r="G455">
        <v>2</v>
      </c>
      <c r="H455">
        <v>2</v>
      </c>
      <c r="I455" t="s">
        <v>15</v>
      </c>
      <c r="J455" t="s">
        <v>14</v>
      </c>
      <c r="K455" t="s">
        <v>19</v>
      </c>
    </row>
    <row r="456" spans="1:11" x14ac:dyDescent="0.25">
      <c r="A456">
        <v>455</v>
      </c>
      <c r="B456">
        <v>33</v>
      </c>
      <c r="C456" t="s">
        <v>11</v>
      </c>
      <c r="D456" t="s">
        <v>12</v>
      </c>
      <c r="E456" t="s">
        <v>24</v>
      </c>
      <c r="F456">
        <v>95856</v>
      </c>
      <c r="G456">
        <v>7</v>
      </c>
      <c r="H456">
        <v>1</v>
      </c>
      <c r="I456" t="s">
        <v>14</v>
      </c>
      <c r="J456" t="s">
        <v>15</v>
      </c>
      <c r="K456" t="s">
        <v>16</v>
      </c>
    </row>
    <row r="457" spans="1:11" x14ac:dyDescent="0.25">
      <c r="A457">
        <v>456</v>
      </c>
      <c r="B457">
        <v>51</v>
      </c>
      <c r="C457" t="s">
        <v>11</v>
      </c>
      <c r="D457" t="s">
        <v>25</v>
      </c>
      <c r="E457" t="s">
        <v>13</v>
      </c>
      <c r="F457">
        <v>87045</v>
      </c>
      <c r="G457">
        <v>20</v>
      </c>
      <c r="H457">
        <v>2</v>
      </c>
      <c r="I457" t="s">
        <v>15</v>
      </c>
      <c r="J457" t="s">
        <v>14</v>
      </c>
      <c r="K457" t="s">
        <v>16</v>
      </c>
    </row>
    <row r="458" spans="1:11" x14ac:dyDescent="0.25">
      <c r="A458">
        <v>457</v>
      </c>
      <c r="B458">
        <v>53</v>
      </c>
      <c r="C458" t="s">
        <v>11</v>
      </c>
      <c r="D458" t="s">
        <v>22</v>
      </c>
      <c r="E458" t="s">
        <v>23</v>
      </c>
      <c r="F458">
        <v>61810</v>
      </c>
      <c r="G458">
        <v>10</v>
      </c>
      <c r="H458">
        <v>1</v>
      </c>
      <c r="I458" t="s">
        <v>15</v>
      </c>
      <c r="J458" t="s">
        <v>14</v>
      </c>
      <c r="K458" t="s">
        <v>19</v>
      </c>
    </row>
    <row r="459" spans="1:11" x14ac:dyDescent="0.25">
      <c r="A459">
        <v>458</v>
      </c>
      <c r="B459">
        <v>42</v>
      </c>
      <c r="C459" t="s">
        <v>21</v>
      </c>
      <c r="D459" t="s">
        <v>12</v>
      </c>
      <c r="E459" t="s">
        <v>24</v>
      </c>
      <c r="F459">
        <v>74067</v>
      </c>
      <c r="G459">
        <v>15</v>
      </c>
      <c r="H459">
        <v>2</v>
      </c>
      <c r="I459" t="s">
        <v>15</v>
      </c>
      <c r="J459" t="s">
        <v>15</v>
      </c>
      <c r="K459" t="s">
        <v>16</v>
      </c>
    </row>
    <row r="460" spans="1:11" x14ac:dyDescent="0.25">
      <c r="A460">
        <v>459</v>
      </c>
      <c r="B460">
        <v>58</v>
      </c>
      <c r="C460" t="s">
        <v>21</v>
      </c>
      <c r="D460" t="s">
        <v>16</v>
      </c>
      <c r="E460" t="s">
        <v>18</v>
      </c>
      <c r="F460">
        <v>56462</v>
      </c>
      <c r="G460">
        <v>11</v>
      </c>
      <c r="H460">
        <v>4</v>
      </c>
      <c r="I460" t="s">
        <v>14</v>
      </c>
      <c r="J460" t="s">
        <v>15</v>
      </c>
      <c r="K460" t="s">
        <v>17</v>
      </c>
    </row>
    <row r="461" spans="1:11" x14ac:dyDescent="0.25">
      <c r="A461">
        <v>460</v>
      </c>
      <c r="B461">
        <v>45</v>
      </c>
      <c r="C461" t="s">
        <v>21</v>
      </c>
      <c r="D461" t="s">
        <v>28</v>
      </c>
      <c r="E461" t="s">
        <v>23</v>
      </c>
      <c r="F461">
        <v>104073</v>
      </c>
      <c r="G461">
        <v>4</v>
      </c>
      <c r="H461">
        <v>3</v>
      </c>
      <c r="I461" t="s">
        <v>15</v>
      </c>
      <c r="J461" t="s">
        <v>15</v>
      </c>
      <c r="K461" t="s">
        <v>28</v>
      </c>
    </row>
    <row r="462" spans="1:11" x14ac:dyDescent="0.25">
      <c r="A462">
        <v>461</v>
      </c>
      <c r="B462">
        <v>57</v>
      </c>
      <c r="C462" t="s">
        <v>11</v>
      </c>
      <c r="D462" t="s">
        <v>17</v>
      </c>
      <c r="E462" t="s">
        <v>18</v>
      </c>
      <c r="F462">
        <v>38038</v>
      </c>
      <c r="G462">
        <v>3</v>
      </c>
      <c r="H462">
        <v>3</v>
      </c>
      <c r="I462" t="s">
        <v>15</v>
      </c>
      <c r="J462" t="s">
        <v>14</v>
      </c>
      <c r="K462" t="s">
        <v>26</v>
      </c>
    </row>
    <row r="463" spans="1:11" x14ac:dyDescent="0.25">
      <c r="A463">
        <v>462</v>
      </c>
      <c r="B463">
        <v>26</v>
      </c>
      <c r="C463" t="s">
        <v>21</v>
      </c>
      <c r="D463" t="s">
        <v>17</v>
      </c>
      <c r="E463" t="s">
        <v>18</v>
      </c>
      <c r="F463">
        <v>81476</v>
      </c>
      <c r="G463">
        <v>0</v>
      </c>
      <c r="H463">
        <v>1</v>
      </c>
      <c r="I463" t="s">
        <v>15</v>
      </c>
      <c r="J463" t="s">
        <v>14</v>
      </c>
      <c r="K463" t="s">
        <v>16</v>
      </c>
    </row>
    <row r="464" spans="1:11" x14ac:dyDescent="0.25">
      <c r="A464">
        <v>463</v>
      </c>
      <c r="B464">
        <v>38</v>
      </c>
      <c r="C464" t="s">
        <v>11</v>
      </c>
      <c r="D464" t="s">
        <v>25</v>
      </c>
      <c r="E464" t="s">
        <v>20</v>
      </c>
      <c r="F464">
        <v>85736</v>
      </c>
      <c r="G464">
        <v>17</v>
      </c>
      <c r="H464">
        <v>2</v>
      </c>
      <c r="I464" t="s">
        <v>15</v>
      </c>
      <c r="J464" t="s">
        <v>15</v>
      </c>
      <c r="K464" t="s">
        <v>16</v>
      </c>
    </row>
    <row r="465" spans="1:11" x14ac:dyDescent="0.25">
      <c r="A465">
        <v>464</v>
      </c>
      <c r="B465">
        <v>40</v>
      </c>
      <c r="C465" t="s">
        <v>11</v>
      </c>
      <c r="D465" t="s">
        <v>12</v>
      </c>
      <c r="E465" t="s">
        <v>18</v>
      </c>
      <c r="F465">
        <v>75909</v>
      </c>
      <c r="G465">
        <v>4</v>
      </c>
      <c r="H465">
        <v>2</v>
      </c>
      <c r="I465" t="s">
        <v>15</v>
      </c>
      <c r="J465" t="s">
        <v>14</v>
      </c>
      <c r="K465" t="s">
        <v>16</v>
      </c>
    </row>
    <row r="466" spans="1:11" x14ac:dyDescent="0.25">
      <c r="A466">
        <v>465</v>
      </c>
      <c r="B466">
        <v>30</v>
      </c>
      <c r="C466" t="s">
        <v>11</v>
      </c>
      <c r="D466" t="s">
        <v>12</v>
      </c>
      <c r="E466" t="s">
        <v>27</v>
      </c>
      <c r="F466">
        <v>35869</v>
      </c>
      <c r="G466">
        <v>14</v>
      </c>
      <c r="H466">
        <v>4</v>
      </c>
      <c r="I466" t="s">
        <v>15</v>
      </c>
      <c r="J466" t="s">
        <v>14</v>
      </c>
      <c r="K466" t="s">
        <v>17</v>
      </c>
    </row>
    <row r="467" spans="1:11" x14ac:dyDescent="0.25">
      <c r="A467">
        <v>466</v>
      </c>
      <c r="B467">
        <v>24</v>
      </c>
      <c r="C467" t="s">
        <v>21</v>
      </c>
      <c r="D467" t="s">
        <v>25</v>
      </c>
      <c r="E467" t="s">
        <v>18</v>
      </c>
      <c r="F467">
        <v>114807</v>
      </c>
      <c r="G467">
        <v>7</v>
      </c>
      <c r="H467">
        <v>1</v>
      </c>
      <c r="I467" t="s">
        <v>14</v>
      </c>
      <c r="J467" t="s">
        <v>15</v>
      </c>
      <c r="K467" t="s">
        <v>19</v>
      </c>
    </row>
    <row r="468" spans="1:11" x14ac:dyDescent="0.25">
      <c r="A468">
        <v>467</v>
      </c>
      <c r="B468">
        <v>55</v>
      </c>
      <c r="C468" t="s">
        <v>11</v>
      </c>
      <c r="D468" t="s">
        <v>22</v>
      </c>
      <c r="E468" t="s">
        <v>27</v>
      </c>
      <c r="F468">
        <v>65868</v>
      </c>
      <c r="G468">
        <v>11</v>
      </c>
      <c r="H468">
        <v>3</v>
      </c>
      <c r="I468" t="s">
        <v>15</v>
      </c>
      <c r="J468" t="s">
        <v>15</v>
      </c>
      <c r="K468" t="s">
        <v>26</v>
      </c>
    </row>
    <row r="469" spans="1:11" x14ac:dyDescent="0.25">
      <c r="A469">
        <v>468</v>
      </c>
      <c r="B469">
        <v>55</v>
      </c>
      <c r="C469" t="s">
        <v>11</v>
      </c>
      <c r="D469" t="s">
        <v>28</v>
      </c>
      <c r="E469" t="s">
        <v>27</v>
      </c>
      <c r="F469">
        <v>50847</v>
      </c>
      <c r="G469">
        <v>20</v>
      </c>
      <c r="H469">
        <v>4</v>
      </c>
      <c r="I469" t="s">
        <v>15</v>
      </c>
      <c r="J469" t="s">
        <v>15</v>
      </c>
      <c r="K469" t="s">
        <v>17</v>
      </c>
    </row>
    <row r="470" spans="1:11" x14ac:dyDescent="0.25">
      <c r="A470">
        <v>469</v>
      </c>
      <c r="B470">
        <v>59</v>
      </c>
      <c r="C470" t="s">
        <v>11</v>
      </c>
      <c r="D470" t="s">
        <v>17</v>
      </c>
      <c r="E470" t="s">
        <v>20</v>
      </c>
      <c r="F470">
        <v>25202</v>
      </c>
      <c r="G470">
        <v>20</v>
      </c>
      <c r="H470">
        <v>3</v>
      </c>
      <c r="I470" t="s">
        <v>15</v>
      </c>
      <c r="J470" t="s">
        <v>15</v>
      </c>
      <c r="K470" t="s">
        <v>17</v>
      </c>
    </row>
    <row r="471" spans="1:11" x14ac:dyDescent="0.25">
      <c r="A471">
        <v>470</v>
      </c>
      <c r="B471">
        <v>53</v>
      </c>
      <c r="C471" t="s">
        <v>11</v>
      </c>
      <c r="D471" t="s">
        <v>28</v>
      </c>
      <c r="E471" t="s">
        <v>18</v>
      </c>
      <c r="F471">
        <v>94195</v>
      </c>
      <c r="G471">
        <v>15</v>
      </c>
      <c r="H471">
        <v>2</v>
      </c>
      <c r="I471" t="s">
        <v>15</v>
      </c>
      <c r="J471" t="s">
        <v>14</v>
      </c>
      <c r="K471" t="s">
        <v>26</v>
      </c>
    </row>
    <row r="472" spans="1:11" x14ac:dyDescent="0.25">
      <c r="A472">
        <v>471</v>
      </c>
      <c r="B472">
        <v>54</v>
      </c>
      <c r="C472" t="s">
        <v>11</v>
      </c>
      <c r="D472" t="s">
        <v>25</v>
      </c>
      <c r="E472" t="s">
        <v>24</v>
      </c>
      <c r="F472">
        <v>51806</v>
      </c>
      <c r="G472">
        <v>20</v>
      </c>
      <c r="H472">
        <v>1</v>
      </c>
      <c r="I472" t="s">
        <v>14</v>
      </c>
      <c r="J472" t="s">
        <v>14</v>
      </c>
      <c r="K472" t="s">
        <v>19</v>
      </c>
    </row>
    <row r="473" spans="1:11" x14ac:dyDescent="0.25">
      <c r="A473">
        <v>472</v>
      </c>
      <c r="B473">
        <v>48</v>
      </c>
      <c r="C473" t="s">
        <v>21</v>
      </c>
      <c r="D473" t="s">
        <v>28</v>
      </c>
      <c r="E473" t="s">
        <v>18</v>
      </c>
      <c r="F473">
        <v>109405</v>
      </c>
      <c r="G473">
        <v>10</v>
      </c>
      <c r="H473">
        <v>2</v>
      </c>
      <c r="I473" t="s">
        <v>15</v>
      </c>
      <c r="J473" t="s">
        <v>14</v>
      </c>
      <c r="K473" t="s">
        <v>28</v>
      </c>
    </row>
    <row r="474" spans="1:11" x14ac:dyDescent="0.25">
      <c r="A474">
        <v>473</v>
      </c>
      <c r="B474">
        <v>23</v>
      </c>
      <c r="C474" t="s">
        <v>11</v>
      </c>
      <c r="D474" t="s">
        <v>16</v>
      </c>
      <c r="E474" t="s">
        <v>27</v>
      </c>
      <c r="F474">
        <v>20655</v>
      </c>
      <c r="G474">
        <v>7</v>
      </c>
      <c r="H474">
        <v>1</v>
      </c>
      <c r="I474" t="s">
        <v>15</v>
      </c>
      <c r="J474" t="s">
        <v>14</v>
      </c>
      <c r="K474" t="s">
        <v>16</v>
      </c>
    </row>
    <row r="475" spans="1:11" x14ac:dyDescent="0.25">
      <c r="A475">
        <v>474</v>
      </c>
      <c r="B475">
        <v>31</v>
      </c>
      <c r="C475" t="s">
        <v>21</v>
      </c>
      <c r="D475" t="s">
        <v>17</v>
      </c>
      <c r="E475" t="s">
        <v>24</v>
      </c>
      <c r="F475">
        <v>36802</v>
      </c>
      <c r="G475">
        <v>1</v>
      </c>
      <c r="H475">
        <v>1</v>
      </c>
      <c r="I475" t="s">
        <v>15</v>
      </c>
      <c r="J475" t="s">
        <v>15</v>
      </c>
      <c r="K475" t="s">
        <v>17</v>
      </c>
    </row>
    <row r="476" spans="1:11" x14ac:dyDescent="0.25">
      <c r="A476">
        <v>475</v>
      </c>
      <c r="B476">
        <v>27</v>
      </c>
      <c r="C476" t="s">
        <v>11</v>
      </c>
      <c r="D476" t="s">
        <v>16</v>
      </c>
      <c r="E476" t="s">
        <v>20</v>
      </c>
      <c r="F476">
        <v>73877</v>
      </c>
      <c r="G476">
        <v>6</v>
      </c>
      <c r="H476">
        <v>2</v>
      </c>
      <c r="I476" t="s">
        <v>15</v>
      </c>
      <c r="J476" t="s">
        <v>15</v>
      </c>
      <c r="K476" t="s">
        <v>16</v>
      </c>
    </row>
    <row r="477" spans="1:11" x14ac:dyDescent="0.25">
      <c r="A477">
        <v>476</v>
      </c>
      <c r="B477">
        <v>33</v>
      </c>
      <c r="C477" t="s">
        <v>21</v>
      </c>
      <c r="D477" t="s">
        <v>28</v>
      </c>
      <c r="E477" t="s">
        <v>24</v>
      </c>
      <c r="F477">
        <v>101461</v>
      </c>
      <c r="G477">
        <v>19</v>
      </c>
      <c r="H477">
        <v>1</v>
      </c>
      <c r="I477" t="s">
        <v>14</v>
      </c>
      <c r="J477" t="s">
        <v>15</v>
      </c>
      <c r="K477" t="s">
        <v>19</v>
      </c>
    </row>
    <row r="478" spans="1:11" x14ac:dyDescent="0.25">
      <c r="A478">
        <v>477</v>
      </c>
      <c r="B478">
        <v>46</v>
      </c>
      <c r="C478" t="s">
        <v>21</v>
      </c>
      <c r="D478" t="s">
        <v>16</v>
      </c>
      <c r="E478" t="s">
        <v>24</v>
      </c>
      <c r="F478">
        <v>32329</v>
      </c>
      <c r="G478">
        <v>12</v>
      </c>
      <c r="H478">
        <v>1</v>
      </c>
      <c r="I478" t="s">
        <v>14</v>
      </c>
      <c r="J478" t="s">
        <v>14</v>
      </c>
      <c r="K478" t="s">
        <v>19</v>
      </c>
    </row>
    <row r="479" spans="1:11" x14ac:dyDescent="0.25">
      <c r="A479">
        <v>478</v>
      </c>
      <c r="B479">
        <v>52</v>
      </c>
      <c r="C479" t="s">
        <v>11</v>
      </c>
      <c r="D479" t="s">
        <v>22</v>
      </c>
      <c r="E479" t="s">
        <v>20</v>
      </c>
      <c r="F479">
        <v>93618</v>
      </c>
      <c r="G479">
        <v>19</v>
      </c>
      <c r="H479">
        <v>2</v>
      </c>
      <c r="I479" t="s">
        <v>15</v>
      </c>
      <c r="J479" t="s">
        <v>14</v>
      </c>
      <c r="K479" t="s">
        <v>16</v>
      </c>
    </row>
    <row r="480" spans="1:11" x14ac:dyDescent="0.25">
      <c r="A480">
        <v>479</v>
      </c>
      <c r="B480">
        <v>56</v>
      </c>
      <c r="C480" t="s">
        <v>21</v>
      </c>
      <c r="D480" t="s">
        <v>22</v>
      </c>
      <c r="E480" t="s">
        <v>27</v>
      </c>
      <c r="F480">
        <v>116563</v>
      </c>
      <c r="G480">
        <v>0</v>
      </c>
      <c r="H480">
        <v>4</v>
      </c>
      <c r="I480" t="s">
        <v>15</v>
      </c>
      <c r="J480" t="s">
        <v>15</v>
      </c>
      <c r="K480" t="s">
        <v>19</v>
      </c>
    </row>
    <row r="481" spans="1:11" x14ac:dyDescent="0.25">
      <c r="A481">
        <v>480</v>
      </c>
      <c r="B481">
        <v>52</v>
      </c>
      <c r="C481" t="s">
        <v>21</v>
      </c>
      <c r="D481" t="s">
        <v>28</v>
      </c>
      <c r="E481" t="s">
        <v>18</v>
      </c>
      <c r="F481">
        <v>60943</v>
      </c>
      <c r="G481">
        <v>12</v>
      </c>
      <c r="H481">
        <v>1</v>
      </c>
      <c r="I481" t="s">
        <v>15</v>
      </c>
      <c r="J481" t="s">
        <v>14</v>
      </c>
      <c r="K481" t="s">
        <v>17</v>
      </c>
    </row>
    <row r="482" spans="1:11" x14ac:dyDescent="0.25">
      <c r="A482">
        <v>481</v>
      </c>
      <c r="B482">
        <v>60</v>
      </c>
      <c r="C482" t="s">
        <v>11</v>
      </c>
      <c r="D482" t="s">
        <v>17</v>
      </c>
      <c r="E482" t="s">
        <v>24</v>
      </c>
      <c r="F482">
        <v>68562</v>
      </c>
      <c r="G482">
        <v>17</v>
      </c>
      <c r="H482">
        <v>1</v>
      </c>
      <c r="I482" t="s">
        <v>14</v>
      </c>
      <c r="J482" t="s">
        <v>15</v>
      </c>
      <c r="K482" t="s">
        <v>16</v>
      </c>
    </row>
    <row r="483" spans="1:11" x14ac:dyDescent="0.25">
      <c r="A483">
        <v>482</v>
      </c>
      <c r="B483">
        <v>22</v>
      </c>
      <c r="C483" t="s">
        <v>21</v>
      </c>
      <c r="D483" t="s">
        <v>28</v>
      </c>
      <c r="E483" t="s">
        <v>23</v>
      </c>
      <c r="F483">
        <v>100792</v>
      </c>
      <c r="G483">
        <v>12</v>
      </c>
      <c r="H483">
        <v>1</v>
      </c>
      <c r="I483" t="s">
        <v>15</v>
      </c>
      <c r="J483" t="s">
        <v>14</v>
      </c>
      <c r="K483" t="s">
        <v>19</v>
      </c>
    </row>
    <row r="484" spans="1:11" x14ac:dyDescent="0.25">
      <c r="A484">
        <v>483</v>
      </c>
      <c r="B484">
        <v>49</v>
      </c>
      <c r="C484" t="s">
        <v>21</v>
      </c>
      <c r="D484" t="s">
        <v>17</v>
      </c>
      <c r="E484" t="s">
        <v>23</v>
      </c>
      <c r="F484">
        <v>91725</v>
      </c>
      <c r="G484">
        <v>20</v>
      </c>
      <c r="H484">
        <v>3</v>
      </c>
      <c r="I484" t="s">
        <v>15</v>
      </c>
      <c r="J484" t="s">
        <v>15</v>
      </c>
      <c r="K484" t="s">
        <v>28</v>
      </c>
    </row>
    <row r="485" spans="1:11" x14ac:dyDescent="0.25">
      <c r="A485">
        <v>484</v>
      </c>
      <c r="B485">
        <v>35</v>
      </c>
      <c r="C485" t="s">
        <v>21</v>
      </c>
      <c r="D485" t="s">
        <v>25</v>
      </c>
      <c r="E485" t="s">
        <v>23</v>
      </c>
      <c r="F485">
        <v>87365</v>
      </c>
      <c r="G485">
        <v>13</v>
      </c>
      <c r="H485">
        <v>3</v>
      </c>
      <c r="I485" t="s">
        <v>14</v>
      </c>
      <c r="J485" t="s">
        <v>15</v>
      </c>
      <c r="K485" t="s">
        <v>28</v>
      </c>
    </row>
    <row r="486" spans="1:11" x14ac:dyDescent="0.25">
      <c r="A486">
        <v>485</v>
      </c>
      <c r="B486">
        <v>30</v>
      </c>
      <c r="C486" t="s">
        <v>11</v>
      </c>
      <c r="D486" t="s">
        <v>22</v>
      </c>
      <c r="E486" t="s">
        <v>18</v>
      </c>
      <c r="F486">
        <v>113017</v>
      </c>
      <c r="G486">
        <v>3</v>
      </c>
      <c r="H486">
        <v>4</v>
      </c>
      <c r="I486" t="s">
        <v>15</v>
      </c>
      <c r="J486" t="s">
        <v>14</v>
      </c>
      <c r="K486" t="s">
        <v>17</v>
      </c>
    </row>
    <row r="487" spans="1:11" x14ac:dyDescent="0.25">
      <c r="A487">
        <v>486</v>
      </c>
      <c r="B487">
        <v>57</v>
      </c>
      <c r="C487" t="s">
        <v>11</v>
      </c>
      <c r="D487" t="s">
        <v>22</v>
      </c>
      <c r="E487" t="s">
        <v>18</v>
      </c>
      <c r="F487">
        <v>106364</v>
      </c>
      <c r="G487">
        <v>19</v>
      </c>
      <c r="H487">
        <v>4</v>
      </c>
      <c r="I487" t="s">
        <v>14</v>
      </c>
      <c r="J487" t="s">
        <v>14</v>
      </c>
      <c r="K487" t="s">
        <v>16</v>
      </c>
    </row>
    <row r="488" spans="1:11" x14ac:dyDescent="0.25">
      <c r="A488">
        <v>487</v>
      </c>
      <c r="B488">
        <v>49</v>
      </c>
      <c r="C488" t="s">
        <v>11</v>
      </c>
      <c r="D488" t="s">
        <v>17</v>
      </c>
      <c r="E488" t="s">
        <v>13</v>
      </c>
      <c r="F488">
        <v>23399</v>
      </c>
      <c r="G488">
        <v>2</v>
      </c>
      <c r="H488">
        <v>4</v>
      </c>
      <c r="I488" t="s">
        <v>14</v>
      </c>
      <c r="J488" t="s">
        <v>15</v>
      </c>
      <c r="K488" t="s">
        <v>28</v>
      </c>
    </row>
    <row r="489" spans="1:11" x14ac:dyDescent="0.25">
      <c r="A489">
        <v>488</v>
      </c>
      <c r="B489">
        <v>55</v>
      </c>
      <c r="C489" t="s">
        <v>11</v>
      </c>
      <c r="D489" t="s">
        <v>12</v>
      </c>
      <c r="E489" t="s">
        <v>20</v>
      </c>
      <c r="F489">
        <v>108271</v>
      </c>
      <c r="G489">
        <v>9</v>
      </c>
      <c r="H489">
        <v>4</v>
      </c>
      <c r="I489" t="s">
        <v>15</v>
      </c>
      <c r="J489" t="s">
        <v>14</v>
      </c>
      <c r="K489" t="s">
        <v>26</v>
      </c>
    </row>
    <row r="490" spans="1:11" x14ac:dyDescent="0.25">
      <c r="A490">
        <v>489</v>
      </c>
      <c r="B490">
        <v>34</v>
      </c>
      <c r="C490" t="s">
        <v>11</v>
      </c>
      <c r="D490" t="s">
        <v>17</v>
      </c>
      <c r="E490" t="s">
        <v>18</v>
      </c>
      <c r="F490">
        <v>52487</v>
      </c>
      <c r="G490">
        <v>16</v>
      </c>
      <c r="H490">
        <v>1</v>
      </c>
      <c r="I490" t="s">
        <v>14</v>
      </c>
      <c r="J490" t="s">
        <v>14</v>
      </c>
      <c r="K490" t="s">
        <v>17</v>
      </c>
    </row>
    <row r="491" spans="1:11" x14ac:dyDescent="0.25">
      <c r="A491">
        <v>490</v>
      </c>
      <c r="B491">
        <v>37</v>
      </c>
      <c r="C491" t="s">
        <v>21</v>
      </c>
      <c r="D491" t="s">
        <v>28</v>
      </c>
      <c r="E491" t="s">
        <v>23</v>
      </c>
      <c r="F491">
        <v>15037</v>
      </c>
      <c r="G491">
        <v>20</v>
      </c>
      <c r="H491">
        <v>4</v>
      </c>
      <c r="I491" t="s">
        <v>14</v>
      </c>
      <c r="J491" t="s">
        <v>14</v>
      </c>
      <c r="K491" t="s">
        <v>28</v>
      </c>
    </row>
    <row r="492" spans="1:11" x14ac:dyDescent="0.25">
      <c r="A492">
        <v>491</v>
      </c>
      <c r="B492">
        <v>59</v>
      </c>
      <c r="C492" t="s">
        <v>11</v>
      </c>
      <c r="D492" t="s">
        <v>22</v>
      </c>
      <c r="E492" t="s">
        <v>24</v>
      </c>
      <c r="F492">
        <v>82861</v>
      </c>
      <c r="G492">
        <v>6</v>
      </c>
      <c r="H492">
        <v>3</v>
      </c>
      <c r="I492" t="s">
        <v>15</v>
      </c>
      <c r="J492" t="s">
        <v>14</v>
      </c>
      <c r="K492" t="s">
        <v>16</v>
      </c>
    </row>
    <row r="493" spans="1:11" x14ac:dyDescent="0.25">
      <c r="A493">
        <v>492</v>
      </c>
      <c r="B493">
        <v>59</v>
      </c>
      <c r="C493" t="s">
        <v>11</v>
      </c>
      <c r="D493" t="s">
        <v>28</v>
      </c>
      <c r="E493" t="s">
        <v>20</v>
      </c>
      <c r="F493">
        <v>60544</v>
      </c>
      <c r="G493">
        <v>11</v>
      </c>
      <c r="H493">
        <v>1</v>
      </c>
      <c r="I493" t="s">
        <v>14</v>
      </c>
      <c r="J493" t="s">
        <v>15</v>
      </c>
      <c r="K493" t="s">
        <v>17</v>
      </c>
    </row>
    <row r="494" spans="1:11" x14ac:dyDescent="0.25">
      <c r="A494">
        <v>493</v>
      </c>
      <c r="B494">
        <v>33</v>
      </c>
      <c r="C494" t="s">
        <v>21</v>
      </c>
      <c r="D494" t="s">
        <v>25</v>
      </c>
      <c r="E494" t="s">
        <v>13</v>
      </c>
      <c r="F494">
        <v>81353</v>
      </c>
      <c r="G494">
        <v>13</v>
      </c>
      <c r="H494">
        <v>3</v>
      </c>
      <c r="I494" t="s">
        <v>15</v>
      </c>
      <c r="J494" t="s">
        <v>14</v>
      </c>
      <c r="K494" t="s">
        <v>16</v>
      </c>
    </row>
    <row r="495" spans="1:11" x14ac:dyDescent="0.25">
      <c r="A495">
        <v>494</v>
      </c>
      <c r="B495">
        <v>58</v>
      </c>
      <c r="C495" t="s">
        <v>21</v>
      </c>
      <c r="D495" t="s">
        <v>16</v>
      </c>
      <c r="E495" t="s">
        <v>23</v>
      </c>
      <c r="F495">
        <v>105989</v>
      </c>
      <c r="G495">
        <v>8</v>
      </c>
      <c r="H495">
        <v>4</v>
      </c>
      <c r="I495" t="s">
        <v>15</v>
      </c>
      <c r="J495" t="s">
        <v>15</v>
      </c>
      <c r="K495" t="s">
        <v>28</v>
      </c>
    </row>
    <row r="496" spans="1:11" x14ac:dyDescent="0.25">
      <c r="A496">
        <v>495</v>
      </c>
      <c r="B496">
        <v>59</v>
      </c>
      <c r="C496" t="s">
        <v>21</v>
      </c>
      <c r="D496" t="s">
        <v>12</v>
      </c>
      <c r="E496" t="s">
        <v>18</v>
      </c>
      <c r="F496">
        <v>78172</v>
      </c>
      <c r="G496">
        <v>0</v>
      </c>
      <c r="H496">
        <v>2</v>
      </c>
      <c r="I496" t="s">
        <v>14</v>
      </c>
      <c r="J496" t="s">
        <v>14</v>
      </c>
      <c r="K496" t="s">
        <v>17</v>
      </c>
    </row>
    <row r="497" spans="1:11" x14ac:dyDescent="0.25">
      <c r="A497">
        <v>496</v>
      </c>
      <c r="B497">
        <v>48</v>
      </c>
      <c r="C497" t="s">
        <v>21</v>
      </c>
      <c r="D497" t="s">
        <v>16</v>
      </c>
      <c r="E497" t="s">
        <v>23</v>
      </c>
      <c r="F497">
        <v>82699</v>
      </c>
      <c r="G497">
        <v>11</v>
      </c>
      <c r="H497">
        <v>1</v>
      </c>
      <c r="I497" t="s">
        <v>15</v>
      </c>
      <c r="J497" t="s">
        <v>14</v>
      </c>
      <c r="K497" t="s">
        <v>28</v>
      </c>
    </row>
    <row r="498" spans="1:11" x14ac:dyDescent="0.25">
      <c r="A498">
        <v>497</v>
      </c>
      <c r="B498">
        <v>43</v>
      </c>
      <c r="C498" t="s">
        <v>21</v>
      </c>
      <c r="D498" t="s">
        <v>16</v>
      </c>
      <c r="E498" t="s">
        <v>24</v>
      </c>
      <c r="F498">
        <v>87686</v>
      </c>
      <c r="G498">
        <v>2</v>
      </c>
      <c r="H498">
        <v>3</v>
      </c>
      <c r="I498" t="s">
        <v>14</v>
      </c>
      <c r="J498" t="s">
        <v>14</v>
      </c>
      <c r="K498" t="s">
        <v>19</v>
      </c>
    </row>
    <row r="499" spans="1:11" x14ac:dyDescent="0.25">
      <c r="A499">
        <v>498</v>
      </c>
      <c r="B499">
        <v>34</v>
      </c>
      <c r="C499" t="s">
        <v>11</v>
      </c>
      <c r="D499" t="s">
        <v>25</v>
      </c>
      <c r="E499" t="s">
        <v>18</v>
      </c>
      <c r="F499">
        <v>111614</v>
      </c>
      <c r="G499">
        <v>15</v>
      </c>
      <c r="H499">
        <v>2</v>
      </c>
      <c r="I499" t="s">
        <v>14</v>
      </c>
      <c r="J499" t="s">
        <v>14</v>
      </c>
      <c r="K499" t="s">
        <v>19</v>
      </c>
    </row>
    <row r="500" spans="1:11" x14ac:dyDescent="0.25">
      <c r="A500">
        <v>499</v>
      </c>
      <c r="B500">
        <v>37</v>
      </c>
      <c r="C500" t="s">
        <v>11</v>
      </c>
      <c r="D500" t="s">
        <v>22</v>
      </c>
      <c r="E500" t="s">
        <v>27</v>
      </c>
      <c r="F500">
        <v>61665</v>
      </c>
      <c r="G500">
        <v>19</v>
      </c>
      <c r="H500">
        <v>4</v>
      </c>
      <c r="I500" t="s">
        <v>15</v>
      </c>
      <c r="J500" t="s">
        <v>14</v>
      </c>
      <c r="K500" t="s">
        <v>16</v>
      </c>
    </row>
    <row r="501" spans="1:11" x14ac:dyDescent="0.25">
      <c r="A501">
        <v>500</v>
      </c>
      <c r="B501">
        <v>22</v>
      </c>
      <c r="C501" t="s">
        <v>21</v>
      </c>
      <c r="D501" t="s">
        <v>28</v>
      </c>
      <c r="E501" t="s">
        <v>24</v>
      </c>
      <c r="F501">
        <v>20539</v>
      </c>
      <c r="G501">
        <v>17</v>
      </c>
      <c r="H501">
        <v>3</v>
      </c>
      <c r="I501" t="s">
        <v>15</v>
      </c>
      <c r="J501" t="s">
        <v>15</v>
      </c>
      <c r="K5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EA4C-FD74-4E02-9BB6-ED94A319EACE}">
  <dimension ref="A3:B54"/>
  <sheetViews>
    <sheetView topLeftCell="A51" zoomScale="106" workbookViewId="0">
      <selection activeCell="A53" sqref="A53"/>
    </sheetView>
  </sheetViews>
  <sheetFormatPr defaultRowHeight="15" x14ac:dyDescent="0.25"/>
  <cols>
    <col min="1" max="1" width="11.28515625" bestFit="1" customWidth="1"/>
    <col min="2" max="2" width="11.42578125" bestFit="1" customWidth="1"/>
    <col min="3" max="3" width="16.7109375" bestFit="1" customWidth="1"/>
  </cols>
  <sheetData>
    <row r="3" spans="1:2" x14ac:dyDescent="0.25">
      <c r="A3" s="1" t="s">
        <v>3</v>
      </c>
      <c r="B3" t="s">
        <v>37</v>
      </c>
    </row>
    <row r="4" spans="1:2" x14ac:dyDescent="0.25">
      <c r="A4" s="2" t="s">
        <v>28</v>
      </c>
      <c r="B4">
        <v>0.20652173913043478</v>
      </c>
    </row>
    <row r="5" spans="1:2" x14ac:dyDescent="0.25">
      <c r="A5" s="2" t="s">
        <v>16</v>
      </c>
      <c r="B5">
        <v>0.27500000000000002</v>
      </c>
    </row>
    <row r="6" spans="1:2" x14ac:dyDescent="0.25">
      <c r="A6" s="2" t="s">
        <v>25</v>
      </c>
      <c r="B6">
        <v>0.3707865168539326</v>
      </c>
    </row>
    <row r="7" spans="1:2" x14ac:dyDescent="0.25">
      <c r="A7" s="2" t="s">
        <v>17</v>
      </c>
      <c r="B7">
        <v>0.30107526881720431</v>
      </c>
    </row>
    <row r="8" spans="1:2" x14ac:dyDescent="0.25">
      <c r="A8" s="2" t="s">
        <v>12</v>
      </c>
      <c r="B8">
        <v>0.25</v>
      </c>
    </row>
    <row r="9" spans="1:2" x14ac:dyDescent="0.25">
      <c r="A9" s="2" t="s">
        <v>22</v>
      </c>
      <c r="B9">
        <v>0.24285714285714285</v>
      </c>
    </row>
    <row r="10" spans="1:2" x14ac:dyDescent="0.25">
      <c r="A10" s="2" t="s">
        <v>36</v>
      </c>
      <c r="B10">
        <v>1.6462406676587147</v>
      </c>
    </row>
    <row r="12" spans="1:2" x14ac:dyDescent="0.25">
      <c r="A12" s="1" t="s">
        <v>2</v>
      </c>
      <c r="B12" t="s">
        <v>37</v>
      </c>
    </row>
    <row r="13" spans="1:2" x14ac:dyDescent="0.25">
      <c r="A13" s="2" t="s">
        <v>21</v>
      </c>
      <c r="B13">
        <v>0.27459016393442626</v>
      </c>
    </row>
    <row r="14" spans="1:2" x14ac:dyDescent="0.25">
      <c r="A14" s="2" t="s">
        <v>11</v>
      </c>
      <c r="B14">
        <v>0.27734375</v>
      </c>
    </row>
    <row r="15" spans="1:2" x14ac:dyDescent="0.25">
      <c r="A15" s="2" t="s">
        <v>36</v>
      </c>
      <c r="B15">
        <v>0.55193391393442626</v>
      </c>
    </row>
    <row r="17" spans="1:2" x14ac:dyDescent="0.25">
      <c r="A17" s="1" t="s">
        <v>39</v>
      </c>
      <c r="B17" t="s">
        <v>38</v>
      </c>
    </row>
    <row r="18" spans="1:2" x14ac:dyDescent="0.25">
      <c r="A18" s="2" t="s">
        <v>23</v>
      </c>
      <c r="B18">
        <v>0.5</v>
      </c>
    </row>
    <row r="19" spans="1:2" x14ac:dyDescent="0.25">
      <c r="A19" s="2" t="s">
        <v>24</v>
      </c>
      <c r="B19">
        <v>0.43333333333333335</v>
      </c>
    </row>
    <row r="20" spans="1:2" x14ac:dyDescent="0.25">
      <c r="A20" s="2" t="s">
        <v>27</v>
      </c>
      <c r="B20">
        <v>0.42857142857142855</v>
      </c>
    </row>
    <row r="21" spans="1:2" x14ac:dyDescent="0.25">
      <c r="A21" s="2" t="s">
        <v>20</v>
      </c>
      <c r="B21">
        <v>0.47499999999999998</v>
      </c>
    </row>
    <row r="22" spans="1:2" x14ac:dyDescent="0.25">
      <c r="A22" s="2" t="s">
        <v>18</v>
      </c>
      <c r="B22">
        <v>0.53086419753086422</v>
      </c>
    </row>
    <row r="23" spans="1:2" x14ac:dyDescent="0.25">
      <c r="A23" s="2" t="s">
        <v>13</v>
      </c>
      <c r="B23">
        <v>0.54022988505747127</v>
      </c>
    </row>
    <row r="24" spans="1:2" x14ac:dyDescent="0.25">
      <c r="A24" s="2" t="s">
        <v>36</v>
      </c>
      <c r="B24">
        <v>2.9079988444930978</v>
      </c>
    </row>
    <row r="38" spans="1:2" x14ac:dyDescent="0.25">
      <c r="A38" s="1" t="s">
        <v>40</v>
      </c>
      <c r="B38" t="s">
        <v>41</v>
      </c>
    </row>
    <row r="39" spans="1:2" x14ac:dyDescent="0.25">
      <c r="A39" s="2" t="s">
        <v>23</v>
      </c>
      <c r="B39">
        <v>193</v>
      </c>
    </row>
    <row r="40" spans="1:2" x14ac:dyDescent="0.25">
      <c r="A40" s="2" t="s">
        <v>24</v>
      </c>
      <c r="B40">
        <v>221</v>
      </c>
    </row>
    <row r="41" spans="1:2" x14ac:dyDescent="0.25">
      <c r="A41" s="2" t="s">
        <v>27</v>
      </c>
      <c r="B41">
        <v>211</v>
      </c>
    </row>
    <row r="42" spans="1:2" x14ac:dyDescent="0.25">
      <c r="A42" s="2" t="s">
        <v>20</v>
      </c>
      <c r="B42">
        <v>205</v>
      </c>
    </row>
    <row r="43" spans="1:2" x14ac:dyDescent="0.25">
      <c r="A43" s="2" t="s">
        <v>18</v>
      </c>
      <c r="B43">
        <v>201</v>
      </c>
    </row>
    <row r="44" spans="1:2" x14ac:dyDescent="0.25">
      <c r="A44" s="2" t="s">
        <v>13</v>
      </c>
      <c r="B44">
        <v>211</v>
      </c>
    </row>
    <row r="45" spans="1:2" x14ac:dyDescent="0.25">
      <c r="A45" s="2" t="s">
        <v>36</v>
      </c>
      <c r="B45">
        <v>1242</v>
      </c>
    </row>
    <row r="53" spans="1:1" x14ac:dyDescent="0.25">
      <c r="A53" t="s">
        <v>42</v>
      </c>
    </row>
    <row r="54" spans="1:1" x14ac:dyDescent="0.25">
      <c r="A54">
        <v>60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hr_employee_attrition_dataset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Aniket kushwaha</cp:lastModifiedBy>
  <dcterms:created xsi:type="dcterms:W3CDTF">2026-02-25T07:13:26Z</dcterms:created>
  <dcterms:modified xsi:type="dcterms:W3CDTF">2026-02-28T04:49:27Z</dcterms:modified>
</cp:coreProperties>
</file>